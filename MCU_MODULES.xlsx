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CU Modules" sheetId="1" state="visible" r:id="rId1"/>
    <sheet name="Summary" sheetId="2" state="visible" r:id="rId2"/>
    <sheet name="Not MCU-based" sheetId="3" state="visible" r:id="rId3"/>
    <sheet name="Sources &amp; Confidence" sheetId="4" state="visible" r:id="rId4"/>
  </sheets>
  <definedNames>
    <definedName name="_xlnm._FilterDatabase" localSheetId="0" hidden="1">'MCU Modules'!$A$4:$U$42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95959"/>
      <sz val="9"/>
    </font>
    <font>
      <name val="Arial"/>
      <b val="1"/>
      <color rgb="00FFFFFF"/>
      <sz val="10"/>
    </font>
    <font>
      <name val="Arial"/>
      <b val="1"/>
      <color rgb="001F3864"/>
      <sz val="10"/>
    </font>
    <font>
      <name val="Arial"/>
      <sz val="10"/>
    </font>
    <font>
      <name val="Arial"/>
      <b val="1"/>
      <sz val="10"/>
    </font>
    <font>
      <name val="Arial"/>
      <b val="1"/>
      <color rgb="00000000"/>
      <sz val="10"/>
    </font>
  </fonts>
  <fills count="5">
    <fill>
      <patternFill/>
    </fill>
    <fill>
      <patternFill patternType="gray125"/>
    </fill>
    <fill>
      <patternFill patternType="solid">
        <fgColor rgb="001F3864"/>
      </patternFill>
    </fill>
    <fill>
      <patternFill patternType="solid">
        <fgColor rgb="00DDEBF7"/>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3" borderId="1" pivotButton="0" quotePrefix="0" xfId="0"/>
    <xf numFmtId="0" fontId="0" fillId="3" borderId="1" pivotButton="0" quotePrefix="0" xfId="0"/>
    <xf numFmtId="0" fontId="6" fillId="3" borderId="1" applyAlignment="1" pivotButton="0" quotePrefix="0" xfId="0">
      <alignment vertical="top" wrapText="1"/>
    </xf>
    <xf numFmtId="0" fontId="5" fillId="0" borderId="1" applyAlignment="1" pivotButton="0" quotePrefix="0" xfId="0">
      <alignment vertical="top" wrapText="1"/>
    </xf>
    <xf numFmtId="0" fontId="4" fillId="4" borderId="1" pivotButton="0" quotePrefix="0" xfId="0"/>
    <xf numFmtId="0" fontId="0" fillId="4" borderId="1" pivotButton="0" quotePrefix="0" xfId="0"/>
    <xf numFmtId="0" fontId="6" fillId="4" borderId="1" applyAlignment="1" pivotButton="0" quotePrefix="0" xfId="0">
      <alignment vertical="top" wrapText="1"/>
    </xf>
    <xf numFmtId="0" fontId="5" fillId="0" borderId="1" pivotButton="0" quotePrefix="0" xfId="0"/>
    <xf numFmtId="0" fontId="5" fillId="0" borderId="1" applyAlignment="1" pivotButton="0" quotePrefix="0" xfId="0">
      <alignment horizontal="center"/>
    </xf>
    <xf numFmtId="0" fontId="2"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2"/>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4" customWidth="1" min="2" max="2"/>
    <col width="30" customWidth="1" min="3" max="3"/>
    <col width="13" customWidth="1" min="4" max="4"/>
    <col width="30" customWidth="1" min="5" max="5"/>
    <col width="28" customWidth="1" min="6" max="6"/>
    <col width="22" customWidth="1" min="7" max="7"/>
    <col width="30" customWidth="1" min="8" max="8"/>
    <col width="34" customWidth="1" min="9" max="9"/>
    <col width="34" customWidth="1" min="10" max="10"/>
    <col width="26" customWidth="1" min="11" max="11"/>
    <col width="30" customWidth="1" min="12" max="12"/>
    <col width="40" customWidth="1" min="13" max="13"/>
    <col width="42" customWidth="1" min="14" max="14"/>
    <col width="28" customWidth="1" min="15" max="15"/>
    <col width="30" customWidth="1" min="16" max="16"/>
    <col width="30" customWidth="1" min="17" max="17"/>
    <col width="38" customWidth="1" min="18" max="18"/>
    <col width="66" customWidth="1" min="19" max="19"/>
    <col width="12" customWidth="1" min="20" max="20"/>
    <col width="40" customWidth="1" min="21" max="21"/>
  </cols>
  <sheetData>
    <row r="1">
      <c r="A1" s="1" t="inlineStr">
        <is>
          <t>Eurorack modules with a microcontroller — MCU and physical hardware</t>
        </is>
      </c>
    </row>
    <row r="2" ht="28" customHeight="1">
      <c r="A2" s="2" t="inlineStr">
        <is>
          <t>Own builds first, then purchased and DIY. Analog modules, the FPGA-based Silver/Gold and the expander are on the 'Not MCU-based' tab with the reason. Check the Confidence column before quoting a figure — see 'Sources &amp; Confidence'.</t>
        </is>
      </c>
    </row>
    <row r="4" ht="34" customHeight="1">
      <c r="A4" s="3" t="inlineStr">
        <is>
          <t>Module</t>
        </is>
      </c>
      <c r="B4" s="3" t="inlineStr">
        <is>
          <t>Class</t>
        </is>
      </c>
      <c r="C4" s="3" t="inlineStr">
        <is>
          <t>Maker / repo</t>
        </is>
      </c>
      <c r="D4" s="3" t="inlineStr">
        <is>
          <t>Format</t>
        </is>
      </c>
      <c r="E4" s="3" t="inlineStr">
        <is>
          <t>MCU / processor</t>
        </is>
      </c>
      <c r="F4" s="3" t="inlineStr">
        <is>
          <t>Core &amp; clock</t>
        </is>
      </c>
      <c r="G4" s="3" t="inlineStr">
        <is>
          <t>RAM</t>
        </is>
      </c>
      <c r="H4" s="3" t="inlineStr">
        <is>
          <t>Flash / program storage</t>
        </is>
      </c>
      <c r="I4" s="3" t="inlineStr">
        <is>
          <t>Wi-Fi / Bluetooth</t>
        </is>
      </c>
      <c r="J4" s="3" t="inlineStr">
        <is>
          <t>SD / removable media</t>
        </is>
      </c>
      <c r="K4" s="3" t="inlineStr">
        <is>
          <t>USB</t>
        </is>
      </c>
      <c r="L4" s="3" t="inlineStr">
        <is>
          <t>MIDI</t>
        </is>
      </c>
      <c r="M4" s="3" t="inlineStr">
        <is>
          <t>CV &amp; gate in</t>
        </is>
      </c>
      <c r="N4" s="3" t="inlineStr">
        <is>
          <t>CV &amp; gate out</t>
        </is>
      </c>
      <c r="O4" s="3" t="inlineStr">
        <is>
          <t>Audio in</t>
        </is>
      </c>
      <c r="P4" s="3" t="inlineStr">
        <is>
          <t>Audio out</t>
        </is>
      </c>
      <c r="Q4" s="3" t="inlineStr">
        <is>
          <t>Display</t>
        </is>
      </c>
      <c r="R4" s="3" t="inlineStr">
        <is>
          <t>Panel controls</t>
        </is>
      </c>
      <c r="S4" s="3" t="inlineStr">
        <is>
          <t>USP (one sentence)</t>
        </is>
      </c>
      <c r="T4" s="3" t="inlineStr">
        <is>
          <t>Confidence</t>
        </is>
      </c>
      <c r="U4" s="3" t="inlineStr">
        <is>
          <t>Source</t>
        </is>
      </c>
    </row>
    <row r="5" ht="18" customHeight="1">
      <c r="A5" s="4" t="inlineStr">
        <is>
          <t>OWN BUILDS — firmware you wrote</t>
        </is>
      </c>
      <c r="B5" s="5" t="n"/>
      <c r="C5" s="5" t="n"/>
      <c r="D5" s="5" t="n"/>
      <c r="E5" s="5" t="n"/>
      <c r="F5" s="5" t="n"/>
      <c r="G5" s="5" t="n"/>
      <c r="H5" s="5" t="n"/>
      <c r="I5" s="5" t="n"/>
      <c r="J5" s="5" t="n"/>
      <c r="K5" s="5" t="n"/>
      <c r="L5" s="5" t="n"/>
      <c r="M5" s="5" t="n"/>
      <c r="N5" s="5" t="n"/>
      <c r="O5" s="5" t="n"/>
      <c r="P5" s="5" t="n"/>
      <c r="Q5" s="5" t="n"/>
      <c r="R5" s="5" t="n"/>
      <c r="S5" s="5" t="n"/>
      <c r="T5" s="5" t="n"/>
      <c r="U5" s="5" t="n"/>
    </row>
    <row r="6" ht="38.40000000000001" customHeight="1">
      <c r="A6" s="6" t="inlineStr">
        <is>
          <t>Sorrow</t>
        </is>
      </c>
      <c r="B6" s="7" t="inlineStr">
        <is>
          <t>Own build</t>
        </is>
      </c>
      <c r="C6" s="7" t="inlineStr">
        <is>
          <t>Eight4aWish · eurorack_daisy_patch_init/daisy_grids</t>
        </is>
      </c>
      <c r="D6" s="7" t="inlineStr">
        <is>
          <t>10 HP, 3U</t>
        </is>
      </c>
      <c r="E6" s="7" t="inlineStr">
        <is>
          <t>STM32H750IBK6 (Daisy Patch Submodule)</t>
        </is>
      </c>
      <c r="F6" s="7" t="inlineStr">
        <is>
          <t>Cortex-M7 @ 480 MHz, hardware FPU</t>
        </is>
      </c>
      <c r="G6" s="7" t="inlineStr">
        <is>
          <t>64 MB SDRAM on the submodule</t>
        </is>
      </c>
      <c r="H6" s="7" t="inlineStr">
        <is>
          <t>128 KB internal + 8 MB QSPI; runs BOOT_SRAM, so it needs the Daisy bootloader</t>
        </is>
      </c>
      <c r="I6" s="7" t="inlineStr">
        <is>
          <t>None</t>
        </is>
      </c>
      <c r="J6" s="7" t="inlineStr">
        <is>
          <t>microSD on the Patch.Init — the bootloader flashes firmware from a FAT32 card</t>
        </is>
      </c>
      <c r="K6" s="7" t="inlineStr">
        <is>
          <t>USB-C device (Web Programmer / bootloader)</t>
        </is>
      </c>
      <c r="L6" s="7" t="inlineStr">
        <is>
          <t>None</t>
        </is>
      </c>
      <c r="M6" s="7" t="inlineStr">
        <is>
          <t>4 CV jacks (±5 V) + Gate In 1 = clock (one pulse per 16th), Gate In 2 = reset</t>
        </is>
      </c>
      <c r="N6" s="7" t="inlineStr">
        <is>
          <t>Gate Out 1 = kick, Gate Out 2 = snare, CV Out 1 = hi-hat trigger; CV Out 2 drives the panel LED</t>
        </is>
      </c>
      <c r="O6" s="7" t="inlineStr">
        <is>
          <t>Stereo L/R (unused by this firmware)</t>
        </is>
      </c>
      <c r="P6" s="7" t="inlineStr">
        <is>
          <t>Stereo L/R — mix of all drums, always live</t>
        </is>
      </c>
      <c r="Q6" s="7" t="inlineStr">
        <is>
          <t>None — the LED's character marks the page (Home blinks, Kit steady)</t>
        </is>
      </c>
      <c r="R6" s="7" t="inlineStr">
        <is>
          <t>4 knobs, momentary button B7, B8 toggle (kit roll), indicator LED</t>
        </is>
      </c>
      <c r="S6" s="7" t="inlineStr">
        <is>
          <t>A Grids-derived drum machine carrying its own voice pool — flip the toggle out and back and the whole kit rerolls.</t>
        </is>
      </c>
      <c r="T6" s="7" t="inlineStr">
        <is>
          <t>High</t>
        </is>
      </c>
      <c r="U6" s="7" t="inlineStr">
        <is>
          <t>daisy_grids/README.md; docs/PANEL.md; site sorrow.md</t>
        </is>
      </c>
    </row>
    <row r="7" ht="51.2" customHeight="1">
      <c r="A7" s="6" t="inlineStr">
        <is>
          <t>Joy</t>
        </is>
      </c>
      <c r="B7" s="7" t="inlineStr">
        <is>
          <t>Own build</t>
        </is>
      </c>
      <c r="C7" s="7" t="inlineStr">
        <is>
          <t>Eight4aWish · eurorack_daisy_patch_init/daisy_braids_oled</t>
        </is>
      </c>
      <c r="D7" s="7" t="inlineStr">
        <is>
          <t>10 HP, 3U</t>
        </is>
      </c>
      <c r="E7" s="7" t="inlineStr">
        <is>
          <t>STM32H750IBK6 (Daisy Patch Submodule)</t>
        </is>
      </c>
      <c r="F7" s="7" t="inlineStr">
        <is>
          <t>Cortex-M7 @ 480 MHz, hardware FPU</t>
        </is>
      </c>
      <c r="G7" s="7" t="inlineStr">
        <is>
          <t>64 MB SDRAM on the submodule</t>
        </is>
      </c>
      <c r="H7" s="7" t="inlineStr">
        <is>
          <t>128 KB internal + 8 MB QSPI; too big for internal flash, so BOOT_QSPI via the bootloader</t>
        </is>
      </c>
      <c r="I7" s="7" t="inlineStr">
        <is>
          <t>None</t>
        </is>
      </c>
      <c r="J7" s="7" t="inlineStr">
        <is>
          <t>microSD on the Patch.Init — used to flash the firmware</t>
        </is>
      </c>
      <c r="K7" s="7" t="inlineStr">
        <is>
          <t>USB-C device (Web Programmer / bootloader)</t>
        </is>
      </c>
      <c r="L7" s="7" t="inlineStr">
        <is>
          <t>None</t>
        </is>
      </c>
      <c r="M7" s="7" t="inlineStr">
        <is>
          <t>V/Oct + Timbre CV + Color CV + FM (±50% on the first two, ~6 semitones/V on FM); Gate In 1 = trigger (unpatched = drone), Gate In 2 = hard sync</t>
        </is>
      </c>
      <c r="N7" s="7" t="inlineStr">
        <is>
          <t>Gate Out 1/2 and CV Out 1 present but unused</t>
        </is>
      </c>
      <c r="O7" s="7" t="inlineStr">
        <is>
          <t>Stereo L/R (unused)</t>
        </is>
      </c>
      <c r="P7" s="7" t="inlineStr">
        <is>
          <t>Stereo L/R</t>
        </is>
      </c>
      <c r="Q7" s="7" t="inlineStr">
        <is>
          <t>SSD1306 64×48 OLED (soft I2C on A2/A3)</t>
        </is>
      </c>
      <c r="R7" s="7" t="inlineStr">
        <is>
          <t>4 knobs (Timbre / Color / Attack / Decay), button; no B8 toggle — the OLED takes that panel position</t>
        </is>
      </c>
      <c r="S7" s="7" t="inlineStr">
        <is>
          <t>Forty-eight Braids macro-oscillator models with a screen to pick them, on stock Daisy hardware and a printed panel.</t>
        </is>
      </c>
      <c r="T7" s="7" t="inlineStr">
        <is>
          <t>High</t>
        </is>
      </c>
      <c r="U7" s="7" t="inlineStr">
        <is>
          <t>docs/PANEL.md; daisy_braids_oled/README.md; site joy.md</t>
        </is>
      </c>
    </row>
    <row r="8" ht="38.40000000000001" customHeight="1">
      <c r="A8" s="6" t="inlineStr">
        <is>
          <t>Joy Lite</t>
        </is>
      </c>
      <c r="B8" s="7" t="inlineStr">
        <is>
          <t>Own build</t>
        </is>
      </c>
      <c r="C8" s="7" t="inlineStr">
        <is>
          <t>Eight4aWish · eurorack_daisy_patch_init/daisy_joy_lite</t>
        </is>
      </c>
      <c r="D8" s="7" t="inlineStr">
        <is>
          <t>10 HP, 3U (runs on a Joy panel)</t>
        </is>
      </c>
      <c r="E8" s="7" t="inlineStr">
        <is>
          <t>STM32H750IBK6 (Daisy Patch Submodule)</t>
        </is>
      </c>
      <c r="F8" s="7" t="inlineStr">
        <is>
          <t>Cortex-M7 @ 480 MHz, hardware FPU</t>
        </is>
      </c>
      <c r="G8" s="7" t="inlineStr">
        <is>
          <t>64 MB SDRAM on the submodule</t>
        </is>
      </c>
      <c r="H8" s="7" t="inlineStr">
        <is>
          <t>128 KB internal + 8 MB QSPI</t>
        </is>
      </c>
      <c r="I8" s="7" t="inlineStr">
        <is>
          <t>None</t>
        </is>
      </c>
      <c r="J8" s="7" t="inlineStr">
        <is>
          <t>microSD on the Patch.Init — used to flash the firmware</t>
        </is>
      </c>
      <c r="K8" s="7" t="inlineStr">
        <is>
          <t>USB-C device (Web Programmer / bootloader)</t>
        </is>
      </c>
      <c r="L8" s="7" t="inlineStr">
        <is>
          <t>None</t>
        </is>
      </c>
      <c r="M8" s="7" t="inlineStr">
        <is>
          <t>Same as Joy: V/Oct, Timbre CV, Color CV, FM; Gate In 1 = trigger, Gate In 2 = hard sync</t>
        </is>
      </c>
      <c r="N8" s="7" t="inlineStr">
        <is>
          <t>Gate Out 1/2 and CV Out 1 present but unused</t>
        </is>
      </c>
      <c r="O8" s="7" t="inlineStr">
        <is>
          <t>Stereo L/R (unused)</t>
        </is>
      </c>
      <c r="P8" s="7" t="inlineStr">
        <is>
          <t>Stereo L/R</t>
        </is>
      </c>
      <c r="Q8" s="7" t="inlineStr">
        <is>
          <t>None — screenless by design</t>
        </is>
      </c>
      <c r="R8" s="7" t="inlineStr">
        <is>
          <t>4 knobs, button, LED, and B8 as the bank A/B toggle (the one firmware that still needs that switch fitted)</t>
        </is>
      </c>
      <c r="S8" s="7" t="inlineStr">
        <is>
          <t>Screenless Braids — sixteen curated models chosen for what Plaits does not cover, navigated by LED blinks.</t>
        </is>
      </c>
      <c r="T8" s="7" t="inlineStr">
        <is>
          <t>High</t>
        </is>
      </c>
      <c r="U8" s="7" t="inlineStr">
        <is>
          <t>docs/PANEL.md; MODULES.md</t>
        </is>
      </c>
    </row>
    <row r="9" ht="64" customHeight="1">
      <c r="A9" s="6" t="inlineStr">
        <is>
          <t>Girl</t>
        </is>
      </c>
      <c r="B9" s="7" t="inlineStr">
        <is>
          <t>Own build</t>
        </is>
      </c>
      <c r="C9" s="7" t="inlineStr">
        <is>
          <t>Eight4aWish · eurorack_modules/src/ksoloti_elements</t>
        </is>
      </c>
      <c r="D9" s="7" t="inlineStr">
        <is>
          <t>20 HP, 3U</t>
        </is>
      </c>
      <c r="E9" s="7" t="inlineStr">
        <is>
          <t>STM32F429 @ 168 MHz per the repo doc (Ksoloti Core v0.7+ is specified as STM32F427)</t>
        </is>
      </c>
      <c r="F9" s="7" t="inlineStr">
        <is>
          <t>Cortex-M4F @ 168 MHz, hardware FPU</t>
        </is>
      </c>
      <c r="G9" s="7" t="inlineStr">
        <is>
          <t>32 MB SDRAM on the Ksoloti Core; this firmware uses 44.8% of RAM</t>
        </is>
      </c>
      <c r="H9" s="7" t="inlineStr">
        <is>
          <t>Internal flash, 19.7% used. Flashed by DFU — it replaces the Ksoloti firmware outright, so the Patcher is never involved</t>
        </is>
      </c>
      <c r="I9" s="7" t="inlineStr">
        <is>
          <t>None</t>
        </is>
      </c>
      <c r="J9" s="7" t="inlineStr">
        <is>
          <t>microSD socket on the Core, brought out to the front panel (not used by this firmware)</t>
        </is>
      </c>
      <c r="K9" s="7" t="inlineStr">
        <is>
          <t>USB-C prog/power + USB-C host, both on the panel</t>
        </is>
      </c>
      <c r="L9" s="7" t="inlineStr">
        <is>
          <t>Big Genes has MIDI I/O on the panel; this firmware does not use it</t>
        </is>
      </c>
      <c r="M9" s="7" t="inlineStr">
        <is>
          <t>10 jacks: CV A/B/C assignable, CV D = gate + strength, CV X = V/Oct (63.9 semitones across the swing), CV Y = FM (±49.5 semitones), CV P1–P4 summed into pots 1–4 in hardware</t>
        </is>
      </c>
      <c r="N9" s="7" t="inlineStr">
        <is>
          <t>Gate 1 out — 0–10.3 V gate echo for chaining</t>
        </is>
      </c>
      <c r="O9" s="7" t="inlineStr">
        <is>
          <t>Board has audio in; unused by this firmware</t>
        </is>
      </c>
      <c r="P9" s="7" t="inlineStr">
        <is>
          <t>Audio L = main, Audio R = aux (reverb). ADAU1961 codec at 32 kHz, Elements' native rate</t>
        </is>
      </c>
      <c r="Q9" s="7" t="inlineStr">
        <is>
          <t>SH1106 128×64 OLED over I2C, 5×7 font, 1 KB framebuffer plus a shadow copy</t>
        </is>
      </c>
      <c r="R9" s="7" t="inlineStr">
        <is>
          <t>8 pots, 2 encoders with push, 4 buttons (S1–S4), 3 status LEDs. Encoders and buttons are polled from the 2 kHz audio ISR, not the main loop</t>
        </is>
      </c>
      <c r="S9" s="7" t="inlineStr">
        <is>
          <t>Mutable's Elements modal resonator as standalone firmware — it replaces the Ksoloti OS entirely, so it boots straight into the instrument.</t>
        </is>
      </c>
      <c r="T9" s="7" t="inlineStr">
        <is>
          <t>High</t>
        </is>
      </c>
      <c r="U9" s="7" t="inlineStr">
        <is>
          <t>docs/KSOLOTI_ELEMENTS.md; ksoloti.github.io Big Genes page</t>
        </is>
      </c>
    </row>
    <row r="10" ht="76.80000000000001" customHeight="1">
      <c r="A10" s="6" t="inlineStr">
        <is>
          <t>Boy</t>
        </is>
      </c>
      <c r="B10" s="7" t="inlineStr">
        <is>
          <t>Own build</t>
        </is>
      </c>
      <c r="C10" s="7" t="inlineStr">
        <is>
          <t>Eight4aWish · eurorack_modules/src/teensy_move</t>
        </is>
      </c>
      <c r="D10" s="7" t="inlineStr">
        <is>
          <t>10 HP, 3U</t>
        </is>
      </c>
      <c r="E10" s="7" t="inlineStr">
        <is>
          <t>NXP i.MX RT1062 (Teensy 4.1)</t>
        </is>
      </c>
      <c r="F10" s="7" t="inlineStr">
        <is>
          <t>Cortex-M7 @ 600 MHz, hardware FPU</t>
        </is>
      </c>
      <c r="G10" s="7" t="inlineStr">
        <is>
          <t>1 MB (512 KB tightly-coupled + 512 KB OCRAM)</t>
        </is>
      </c>
      <c r="H10" s="7" t="inlineStr">
        <is>
          <t>8 MB on-board flash</t>
        </is>
      </c>
      <c r="I10" s="7" t="inlineStr">
        <is>
          <t>None</t>
        </is>
      </c>
      <c r="J10" s="7" t="inlineStr">
        <is>
          <t>microSD socket built into the Teensy 4.1 — not used by this firmware</t>
        </is>
      </c>
      <c r="K10" s="7" t="inlineStr">
        <is>
          <t>USB micro-B, composite USB MIDI + Serial (USB_MIDI_SERIAL)</t>
        </is>
      </c>
      <c r="L10" s="7" t="inlineStr">
        <is>
          <t>USB MIDI in: ch 1–4 → gate + pitch + mod CV, ch 10 notes 36–39 → drum triggers, MIDI clock at 24 PPQN → quarter-note pulses, Start → reset pulse</t>
        </is>
      </c>
      <c r="M10" s="7" t="inlineStr">
        <is>
          <t>None — MIDI is the input</t>
        </is>
      </c>
      <c r="N10" s="7" t="inlineStr">
        <is>
          <t>On board: 2 pitch CV (V/Oct, MIDI 36 = 0 V), 2 mod CV (−5…+5 V), 2 gates, clock, reset (2× MCP4822 + 74HCT14). Expander adds 2 more CV/gate channels and 4 drum triggers</t>
        </is>
      </c>
      <c r="O10" s="7" t="inlineStr">
        <is>
          <t>Stereo line in via SGTL5000 Audio Shield</t>
        </is>
      </c>
      <c r="P10" s="7" t="inlineStr">
        <is>
          <t>Stereo line out, AC-coupled to kill the SGTL's ~1.5 V VAG bias</t>
        </is>
      </c>
      <c r="Q10" s="7" t="inlineStr">
        <is>
          <t>SSD1306 128×64 OLED, two pages (STATUS / FX); sleeps after 10 s to keep its switching noise off the audio</t>
        </is>
      </c>
      <c r="R10" s="7" t="inlineStr">
        <is>
          <t>4 pots (soft-takeover), one front button — short press = page, long press = reset pulse</t>
        </is>
      </c>
      <c r="S10" s="7" t="inlineStr">
        <is>
          <t>The Ableton Move's Eurorack bridge: four MIDI channels out as pitch, mod and gate CV, with a stereo filter-delay-reverb send on the Move's own audio.</t>
        </is>
      </c>
      <c r="T10" s="7" t="inlineStr">
        <is>
          <t>High</t>
        </is>
      </c>
      <c r="U10" s="7" t="inlineStr">
        <is>
          <t>docs/TEENSY_MOVE.md; eurorack_modules/README.md</t>
        </is>
      </c>
    </row>
    <row r="11" ht="64" customHeight="1">
      <c r="A11" s="6" t="inlineStr">
        <is>
          <t>Chaos</t>
        </is>
      </c>
      <c r="B11" s="7" t="inlineStr">
        <is>
          <t>Own build</t>
        </is>
      </c>
      <c r="C11" s="7" t="inlineStr">
        <is>
          <t>Eight4aWish · eurorack_modules/src/teensy_chaos</t>
        </is>
      </c>
      <c r="D11" s="7" t="inlineStr">
        <is>
          <t>10 HP, 3U</t>
        </is>
      </c>
      <c r="E11" s="7" t="inlineStr">
        <is>
          <t>NXP i.MX RT1062 (Teensy 4.1)</t>
        </is>
      </c>
      <c r="F11" s="7" t="inlineStr">
        <is>
          <t>Cortex-M7 @ 600 MHz, hardware FPU — RK4 per audio sample</t>
        </is>
      </c>
      <c r="G11" s="7" t="inlineStr">
        <is>
          <t>1 MB (512 KB tightly-coupled + 512 KB OCRAM)</t>
        </is>
      </c>
      <c r="H11" s="7" t="inlineStr">
        <is>
          <t>8 MB on-board flash</t>
        </is>
      </c>
      <c r="I11" s="7" t="inlineStr">
        <is>
          <t>None</t>
        </is>
      </c>
      <c r="J11" s="7" t="inlineStr">
        <is>
          <t>microSD on the Audio Shield — deliberately disabled in firmware (its CS shares a pin, held HIGH)</t>
        </is>
      </c>
      <c r="K11" s="7" t="inlineStr">
        <is>
          <t>USB micro-B</t>
        </is>
      </c>
      <c r="L11" s="7" t="inlineStr">
        <is>
          <t>None</t>
        </is>
      </c>
      <c r="M11" s="7" t="inlineStr">
        <is>
          <t>4 CV in via an ADS1115 16-bit ADC: MOD (bipolar mod of CHAOS), ASGN (menu-assignable target), CLK (clock / V-Oct), RST (gate — re-inits the attractor and fires the envelope)</t>
        </is>
      </c>
      <c r="N11" s="7" t="inlineStr">
        <is>
          <t>2 CV out via MCP4822: X and Y attractor axes</t>
        </is>
      </c>
      <c r="O11" s="7" t="inlineStr">
        <is>
          <t>1 audio in (A IN, line level via SGTL5000)</t>
        </is>
      </c>
      <c r="P11" s="7" t="inlineStr">
        <is>
          <t>Stereo L/R over I2S — attractor X and Y at audio rate</t>
        </is>
      </c>
      <c r="Q11" s="7" t="inlineStr">
        <is>
          <t>SSD1306 128×64 OLED — algorithm name, live phase-space plot, parameter bars, peak audio-ISR load top right</t>
        </is>
      </c>
      <c r="R11" s="7" t="inlineStr">
        <is>
          <t>4 pots (CHAOS / RATE / CHAR / DEPTH), button (short = next algorithm, long = ENV page)</t>
        </is>
      </c>
      <c r="S11" s="7" t="inlineStr">
        <is>
          <t>Six strange attractors integrated per audio sample — the same maths feeds the stereo outs and an X/Y CV pair, and it tracks 1 V/oct by oversampling rather than by enlarging the step.</t>
        </is>
      </c>
      <c r="T11" s="7" t="inlineStr">
        <is>
          <t>High</t>
        </is>
      </c>
      <c r="U11" s="7" t="inlineStr">
        <is>
          <t>docs/TEENSY_CHAOS.md; eurorack_modules/README.md</t>
        </is>
      </c>
    </row>
    <row r="12" ht="64" customHeight="1">
      <c r="A12" s="6" t="inlineStr">
        <is>
          <t>CortHex</t>
        </is>
      </c>
      <c r="B12" s="7" t="inlineStr">
        <is>
          <t>Own build</t>
        </is>
      </c>
      <c r="C12" s="7" t="inlineStr">
        <is>
          <t>Eight4aWish · eurorack_modules/src/nanoesp32_corthex</t>
        </is>
      </c>
      <c r="D12" s="7" t="inlineStr">
        <is>
          <t>10 HP, 3U</t>
        </is>
      </c>
      <c r="E12" s="7" t="inlineStr">
        <is>
          <t>Arduino Nano ESP32 (NORA-W106 / ESP32-S3)</t>
        </is>
      </c>
      <c r="F12" s="7" t="inlineStr">
        <is>
          <t>Dual-core Xtensa LX7 @ 240 MHz</t>
        </is>
      </c>
      <c r="G12" s="7" t="inlineStr">
        <is>
          <t>8 MB PSRAM</t>
        </is>
      </c>
      <c r="H12" s="7" t="inlineStr">
        <is>
          <t>16 MB flash</t>
        </is>
      </c>
      <c r="I12" s="7" t="inlineStr">
        <is>
          <t>2.4 GHz Wi-Fi + BLE — serves three web pages on the LAN (/, /plaits, /llm) and takes OTA firmware updates over Wi-Fi</t>
        </is>
      </c>
      <c r="J12" s="7" t="inlineStr">
        <is>
          <t>None</t>
        </is>
      </c>
      <c r="K12" s="7" t="inlineStr">
        <is>
          <t>USB-C — first flash by DFU, everything after that over the air</t>
        </is>
      </c>
      <c r="L12" s="7" t="inlineStr">
        <is>
          <t>None</t>
        </is>
      </c>
      <c r="M12" s="7" t="inlineStr">
        <is>
          <t>1 clock/gate in on D9, driving the per-channel AR envelopes</t>
        </is>
      </c>
      <c r="N12" s="7" t="inlineStr">
        <is>
          <t>6 × bipolar ±5 V, calibrated per channel (3× MCP4822 + TL074 shift stage, BAT85 output protection)</t>
        </is>
      </c>
      <c r="O12" s="7" t="inlineStr">
        <is>
          <t>Stereo in — hardwired jack-to-jack passthrough plus a 100 kΩ high-impedance listening tap into the ESP32 ADC on A0/A1</t>
        </is>
      </c>
      <c r="P12" s="7" t="inlineStr">
        <is>
          <t>Stereo out — passive, so audio flows even with the module unpowered</t>
        </is>
      </c>
      <c r="Q12" s="7" t="inlineStr">
        <is>
          <t>None on the panel — the browser is the UI</t>
        </is>
      </c>
      <c r="R12" s="7" t="inlineStr">
        <is>
          <t>7 buttons + 7 LEDs (master plus six channel slots), on a two-deck N8Synth stack</t>
        </is>
      </c>
      <c r="S12" s="7" t="inlineStr">
        <is>
          <t>Describe a sound in words and an LLM fills six panel buttons with patch variations, each one six calibrated CVs into Plaits, Swords and a T03.</t>
        </is>
      </c>
      <c r="T12" s="7" t="inlineStr">
        <is>
          <t>High</t>
        </is>
      </c>
      <c r="U12" s="7" t="inlineStr">
        <is>
          <t>docs/NANOESP32_CORTHEX_HARDWARE.md; eurorack_modules/README.md</t>
        </is>
      </c>
    </row>
    <row r="13" ht="51.2" customHeight="1">
      <c r="A13" s="6" t="inlineStr">
        <is>
          <t>Daisy MultiOsc</t>
        </is>
      </c>
      <c r="B13" s="7" t="inlineStr">
        <is>
          <t>Own build</t>
        </is>
      </c>
      <c r="C13" s="7" t="inlineStr">
        <is>
          <t>Eight4aWish · eurorack_daisy_patch_init/daisy_multiosc</t>
        </is>
      </c>
      <c r="D13" s="7" t="inlineStr">
        <is>
          <t>10 HP, 3U</t>
        </is>
      </c>
      <c r="E13" s="7" t="inlineStr">
        <is>
          <t>STM32H750IBK6 (Daisy Patch Submodule)</t>
        </is>
      </c>
      <c r="F13" s="7" t="inlineStr">
        <is>
          <t>Cortex-M7 @ 480 MHz, hardware FPU</t>
        </is>
      </c>
      <c r="G13" s="7" t="inlineStr">
        <is>
          <t>64 MB SDRAM (large buffers live in SDRAM)</t>
        </is>
      </c>
      <c r="H13" s="7" t="inlineStr">
        <is>
          <t>128 KB internal + 8 MB QSPI — the combined image exceeds internal flash, so BOOT_QSPI</t>
        </is>
      </c>
      <c r="I13" s="7" t="inlineStr">
        <is>
          <t>None</t>
        </is>
      </c>
      <c r="J13" s="7" t="inlineStr">
        <is>
          <t>microSD on the Patch.Init — used to flash the firmware</t>
        </is>
      </c>
      <c r="K13" s="7" t="inlineStr">
        <is>
          <t>USB-C device (Web Programmer / bootloader)</t>
        </is>
      </c>
      <c r="L13" s="7" t="inlineStr">
        <is>
          <t>None</t>
        </is>
      </c>
      <c r="M13" s="7" t="inlineStr">
        <is>
          <t>V/Oct + MOD 1–3 CV (each modulating its matching knob); Gate In 1 = TRIG, Gate In 2 = per-app (hard sync)</t>
        </is>
      </c>
      <c r="N13" s="7" t="inlineStr">
        <is>
          <t>Gate Out 1/2 and CV Out 1, per engine; CV Out 2 drives the panel LED</t>
        </is>
      </c>
      <c r="O13" s="7" t="inlineStr">
        <is>
          <t>Stereo L/R, per engine</t>
        </is>
      </c>
      <c r="P13" s="7" t="inlineStr">
        <is>
          <t>Stereo L/R (SCAN is mono on both; INTVL puts osc 1 and osc 2 on L and R)</t>
        </is>
      </c>
      <c r="Q13" s="7" t="inlineStr">
        <is>
          <t>SSD1306 64×48 OLED — name, page, live meaning of MOD 1–3, current selection, all inside a ten-character line</t>
        </is>
      </c>
      <c r="R13" s="7" t="inlineStr">
        <is>
          <t>4 knobs (TUNE + MOD 1–3), one button: short = cycle model, long = Play ↔ Edit page with soft-takeover</t>
        </is>
      </c>
      <c r="S13" s="7" t="inlineStr">
        <is>
          <t>A boot-time chooser hosting FM4OP, INTVL, SCAN, BYTEBEAT and a test sine behind one universal panel contract.</t>
        </is>
      </c>
      <c r="T13" s="7" t="inlineStr">
        <is>
          <t>High</t>
        </is>
      </c>
      <c r="U13" s="7" t="inlineStr">
        <is>
          <t>docs/PANEL.md; daisy_multiosc/README.md</t>
        </is>
      </c>
    </row>
    <row r="14" ht="64" customHeight="1">
      <c r="A14" s="6" t="inlineStr">
        <is>
          <t>Daisy MultiFX</t>
        </is>
      </c>
      <c r="B14" s="7" t="inlineStr">
        <is>
          <t>Own build</t>
        </is>
      </c>
      <c r="C14" s="7" t="inlineStr">
        <is>
          <t>Eight4aWish · eurorack_daisy_patch_init/daisy_multifx_oled</t>
        </is>
      </c>
      <c r="D14" s="7" t="inlineStr">
        <is>
          <t>10 HP, 3U</t>
        </is>
      </c>
      <c r="E14" s="7" t="inlineStr">
        <is>
          <t>STM32H750IBK6 (Daisy Patch Submodule)</t>
        </is>
      </c>
      <c r="F14" s="7" t="inlineStr">
        <is>
          <t>Cortex-M7 @ 480 MHz, hardware FPU</t>
        </is>
      </c>
      <c r="G14" s="7" t="inlineStr">
        <is>
          <t>64 MB SDRAM</t>
        </is>
      </c>
      <c r="H14" s="7" t="inlineStr">
        <is>
          <t>128 KB internal + 8 MB QSPI (runs BOOT_NONE — internal flash, no bootloader)</t>
        </is>
      </c>
      <c r="I14" s="7" t="inlineStr">
        <is>
          <t>None</t>
        </is>
      </c>
      <c r="J14" s="7" t="inlineStr">
        <is>
          <t>microSD on the Patch.Init — used to flash the firmware</t>
        </is>
      </c>
      <c r="K14" s="7" t="inlineStr">
        <is>
          <t>USB-C device (Web Programmer / bootloader)</t>
        </is>
      </c>
      <c r="L14" s="7" t="inlineStr">
        <is>
          <t>None</t>
        </is>
      </c>
      <c r="M14" s="7" t="inlineStr">
        <is>
          <t>4 CV in — each summed with its matching pot; CV4 is global dry/wet on every patch. Gate In takes an external clock to sync delay time (Bank B: Ping / EchoVerb)</t>
        </is>
      </c>
      <c r="N14" s="7" t="inlineStr">
        <is>
          <t>Gate Out 1/2 and CV Out 1 unused by this firmware</t>
        </is>
      </c>
      <c r="O14" s="7" t="inlineStr">
        <is>
          <t>Stereo L/R — the signal being processed</t>
        </is>
      </c>
      <c r="P14" s="7" t="inlineStr">
        <is>
          <t>Stereo L/R, with output voicing: DC-block → soft clamp (the Seed build's ~14.5 kHz LPF is disabled on the Patch SM)</t>
        </is>
      </c>
      <c r="Q14" s="7" t="inlineStr">
        <is>
          <t>64×48 SSD1306 OLED at 0x3C, two-level Bank → Patch menu</t>
        </is>
      </c>
      <c r="R14" s="7" t="inlineStr">
        <is>
          <t>4 knobs, one button (short = next patch, long = bank menu)</t>
        </is>
      </c>
      <c r="S14" s="7" t="inlineStr">
        <is>
          <t>Sixteen effects in a 4×4 grid — reverb, delay, tone and misc banks — with every knob CV-summable and click-free patch changes.</t>
        </is>
      </c>
      <c r="T14" s="7" t="inlineStr">
        <is>
          <t>High</t>
        </is>
      </c>
      <c r="U14" s="7" t="inlineStr">
        <is>
          <t>daisy_multifx_oled/README.md; daisy_multifx_oled/Makefile (APP_TYPE)</t>
        </is>
      </c>
    </row>
    <row r="15" ht="64" customHeight="1">
      <c r="A15" s="6" t="inlineStr">
        <is>
          <t>Daisy MultiFX (Seed)</t>
        </is>
      </c>
      <c r="B15" s="7" t="inlineStr">
        <is>
          <t>Own build</t>
        </is>
      </c>
      <c r="C15" s="7" t="inlineStr">
        <is>
          <t>Eight4aWish · eurorack_daisy_patch_init/daisy_multifx_seed</t>
        </is>
      </c>
      <c r="D15" s="7" t="inlineStr">
        <is>
          <t>6 HP, 3U (n8synth)</t>
        </is>
      </c>
      <c r="E15" s="7" t="inlineStr">
        <is>
          <t>STM32H750IBK6 (bare Daisy Seed)</t>
        </is>
      </c>
      <c r="F15" s="7" t="inlineStr">
        <is>
          <t>Cortex-M7 @ 480 MHz, hardware FPU</t>
        </is>
      </c>
      <c r="G15" s="7" t="inlineStr">
        <is>
          <t>64 MB SDRAM</t>
        </is>
      </c>
      <c r="H15" s="7" t="inlineStr">
        <is>
          <t>128 KB internal + 8 MB QSPI</t>
        </is>
      </c>
      <c r="I15" s="7" t="inlineStr">
        <is>
          <t>None</t>
        </is>
      </c>
      <c r="J15" s="7" t="inlineStr">
        <is>
          <t>None — the Seed brings SD pins out but no socket is fitted on this front end</t>
        </is>
      </c>
      <c r="K15" s="7" t="inlineStr">
        <is>
          <t>USB-C on the Seed (DFU)</t>
        </is>
      </c>
      <c r="L15" s="7" t="inlineStr">
        <is>
          <t>None</t>
        </is>
      </c>
      <c r="M15" s="7" t="inlineStr">
        <is>
          <t>2 CV in, bipolar ±5 V, summed as an offset onto the pot (0 V = pot alone). On the Delay bank CV2 becomes the tap-tempo clock instead. ±0.05 V dead zone ignores DC on an unpatched jack</t>
        </is>
      </c>
      <c r="N15" s="7" t="inlineStr">
        <is>
          <t>None</t>
        </is>
      </c>
      <c r="O15" s="7" t="inlineStr">
        <is>
          <t>Stereo L/R</t>
        </is>
      </c>
      <c r="P15" s="7" t="inlineStr">
        <is>
          <t>Stereo L/R</t>
        </is>
      </c>
      <c r="Q15" s="7" t="inlineStr">
        <is>
          <t>128×64 OLED — 2×2 bank grid</t>
        </is>
      </c>
      <c r="R15" s="7" t="inlineStr">
        <is>
          <t>3 pots (the Seed has three, not the Patch.Init's four, so effect p3 is a fixed musical default per patch), one button</t>
        </is>
      </c>
      <c r="S15" s="7" t="inlineStr">
        <is>
          <t>The same sixteen-effect core as MultiFX, rebuilt for a bare Daisy Seed and a home-made 6 HP front end — and migrated off DaisyDuino onto current DaisySP.</t>
        </is>
      </c>
      <c r="T15" s="7" t="inlineStr">
        <is>
          <t>High</t>
        </is>
      </c>
      <c r="U15" s="7" t="inlineStr">
        <is>
          <t>daisy_multifx_seed/README.md; MODULES.md</t>
        </is>
      </c>
    </row>
    <row r="16" ht="51.2" customHeight="1">
      <c r="A16" s="6" t="inlineStr">
        <is>
          <t>Pico2W OnC Lite</t>
        </is>
      </c>
      <c r="B16" s="7" t="inlineStr">
        <is>
          <t>Own build</t>
        </is>
      </c>
      <c r="C16" s="7" t="inlineStr">
        <is>
          <t>Eight4aWish · eurorack_modules/src/pico2w_oc</t>
        </is>
      </c>
      <c r="D16" s="7" t="inlineStr">
        <is>
          <t>6 HP, 3U</t>
        </is>
      </c>
      <c r="E16" s="7" t="inlineStr">
        <is>
          <t>RP2350 on a Raspberry Pi Pico 2 W, plus an Infineon CYW43439 radio</t>
        </is>
      </c>
      <c r="F16" s="7" t="inlineStr">
        <is>
          <t>Dual Cortex-M33 @ 150 MHz</t>
        </is>
      </c>
      <c r="G16" s="7" t="inlineStr">
        <is>
          <t>520 KB SRAM</t>
        </is>
      </c>
      <c r="H16" s="7" t="inlineStr">
        <is>
          <t>4 MB QSPI flash</t>
        </is>
      </c>
      <c r="I16" s="7" t="inlineStr">
        <is>
          <t>2.4 GHz Wi-Fi + BLE — used by the NetMIDI patch for RTP-MIDI / AppleMIDI on port 5004. Credentials in a gitignored secrets.h</t>
        </is>
      </c>
      <c r="J16" s="7" t="inlineStr">
        <is>
          <t>None</t>
        </is>
      </c>
      <c r="K16" s="7" t="inlineStr">
        <is>
          <t>micro-B — USB MIDI device (UsbMIDI patch)</t>
        </is>
      </c>
      <c r="L16" s="7" t="inlineStr">
        <is>
          <t>Two ways in: USB MIDI, and network MIDI over Wi-Fi. Both share one engine with DUO and CLK modes</t>
        </is>
      </c>
      <c r="M16" s="7" t="inlineStr">
        <is>
          <t>IN1 and IN2 plus a dedicated external clock channel, all via an ADS1115</t>
        </is>
      </c>
      <c r="N16" s="7" t="inlineStr">
        <is>
          <t>OUT1–OUT4 via an MCP4728 quad DAC, calibrated per output; OUT1/OUT2 are the pitch row, OUT3/OUT4 the gate row</t>
        </is>
      </c>
      <c r="O16" s="7" t="inlineStr">
        <is>
          <t>None</t>
        </is>
      </c>
      <c r="P16" s="7" t="inlineStr">
        <is>
          <t>None</t>
        </is>
      </c>
      <c r="Q16" s="7" t="inlineStr">
        <is>
          <t>SSD1306 128×64, split yellow/blue — rows y=0 and y=8 sit in the 16 px yellow band</t>
        </is>
      </c>
      <c r="R16" s="7" t="inlineStr">
        <is>
          <t>3 pots (Pot1 navigates, Pot2/Pot3 are the two channel columns), one button</t>
        </is>
      </c>
      <c r="S16" s="7" t="inlineStr">
        <is>
          <t>Eleven Ornament-&amp;-Crime-style patches on a Pico 2 W — clock, quantizer, Euclid, Turing, envelopes, scope — including MIDI-to-CV over Wi-Fi.</t>
        </is>
      </c>
      <c r="T16" s="7" t="inlineStr">
        <is>
          <t>High</t>
        </is>
      </c>
      <c r="U16" s="7" t="inlineStr">
        <is>
          <t>docs/PICO2W_OC.md; eurorack_modules/README.md</t>
        </is>
      </c>
    </row>
    <row r="17" ht="128" customHeight="1">
      <c r="A17" s="6" t="inlineStr">
        <is>
          <t>ESP32 ClkLinkRec</t>
        </is>
      </c>
      <c r="B17" s="7" t="inlineStr">
        <is>
          <t>Own build</t>
        </is>
      </c>
      <c r="C17" s="7" t="inlineStr">
        <is>
          <t>Eight4aWish · eurorack_modules/src/esp32_clklinkrec</t>
        </is>
      </c>
      <c r="D17" s="7" t="inlineStr">
        <is>
          <t>4 HP, 3U (n8synth)</t>
        </is>
      </c>
      <c r="E17" s="7" t="inlineStr">
        <is>
          <t>Seeed Studio XIAO ESP32-C5</t>
        </is>
      </c>
      <c r="F17" s="7" t="inlineStr">
        <is>
          <t>RISC-V, 240 MHz high-performance core + a 48 MHz low-power core</t>
        </is>
      </c>
      <c r="G17" s="7" t="inlineStr">
        <is>
          <t>8 MB PSRAM</t>
        </is>
      </c>
      <c r="H17" s="7" t="inlineStr">
        <is>
          <t>Internal SPI flash</t>
        </is>
      </c>
      <c r="I17" s="7" t="inlineStr">
        <is>
          <t>Dual-band Wi-Fi 6 — the reason this chip was chosen. 5 GHz lets it sit on the same band as the Mac, Push, Move and Note without the router bridging multicast, which bit the previous build. Joins Ableton Link and POSTs to the Mac over HTTP/mDNS (_recorder._tcp.local., port 8765, with a RECORDER_HOST fallback)</t>
        </is>
      </c>
      <c r="J17" s="7" t="inlineStr">
        <is>
          <t>None</t>
        </is>
      </c>
      <c r="K17" s="7" t="inlineStr">
        <is>
          <t>USB-C, reachable inside the case for reflashing — deliberately not routed to the panel</t>
        </is>
      </c>
      <c r="L17" s="7" t="inlineStr">
        <is>
          <t>None — the recorder link is HTTP, not MIDI</t>
        </is>
      </c>
      <c r="M17" s="7" t="inlineStr">
        <is>
          <t>Reset In — an external trigger that realigns the Link phase, through a 74HCT14 Schmitt trigger and an R8/R9 divider</t>
        </is>
      </c>
      <c r="N17" s="7" t="inlineStr">
        <is>
          <t>Clock, Reset and Running — clean 0/+5 V triggers via the 74HCT14. No DAC, no op-amps, no I²C anywhere in the design</t>
        </is>
      </c>
      <c r="O17" s="7" t="inlineStr">
        <is>
          <t>None</t>
        </is>
      </c>
      <c r="P17" s="7" t="inlineStr">
        <is>
          <t>None</t>
        </is>
      </c>
      <c r="Q17" s="7" t="inlineStr">
        <is>
          <t>None — two LEDs carry the state (blue = Link off/pairing/paired, red = POST in flight or no response)</t>
        </is>
      </c>
      <c r="R17" s="7" t="inlineStr">
        <is>
          <t>2 momentary tactile switches (Link toggle, Capture); Link state is held in software on the press edge</t>
        </is>
      </c>
      <c r="S17" s="7" t="inlineStr">
        <is>
          <t>Ableton Link clock and reset in 4 HP, with a capture button that tells the Mac to save the last minute of audio it had already heard.</t>
        </is>
      </c>
      <c r="T17" s="7" t="inlineStr">
        <is>
          <t>High</t>
        </is>
      </c>
      <c r="U17" s="7" t="inlineStr">
        <is>
          <t>docs/ESP32_CLKLINKREC.md; docs/RECORDER_PROTOCOL.md</t>
        </is>
      </c>
    </row>
    <row r="18" ht="38.40000000000001" customHeight="1">
      <c r="A18" s="6" t="inlineStr">
        <is>
          <t>ESP32 ClkLink</t>
        </is>
      </c>
      <c r="B18" s="7" t="inlineStr">
        <is>
          <t>Own build</t>
        </is>
      </c>
      <c r="C18" s="7" t="inlineStr">
        <is>
          <t>Eight4aWish · eurorack_modules/src/esp32_clklink</t>
        </is>
      </c>
      <c r="D18" s="7" t="inlineStr">
        <is>
          <t>Not recorded in the panel tables</t>
        </is>
      </c>
      <c r="E18" s="7" t="inlineStr">
        <is>
          <t>ESP32-Dev module + MCP4728 quad DAC</t>
        </is>
      </c>
      <c r="F18" s="7" t="inlineStr">
        <is>
          <t>Dual-core Xtensa LX6 @ 240 MHz</t>
        </is>
      </c>
      <c r="G18" s="7" t="inlineStr">
        <is>
          <t>520 KB SRAM</t>
        </is>
      </c>
      <c r="H18" s="7" t="inlineStr">
        <is>
          <t>Internal SPI flash</t>
        </is>
      </c>
      <c r="I18" s="7" t="inlineStr">
        <is>
          <t>2.4 GHz Wi-Fi + Bluetooth — joins an Ableton Link network on the same LAN</t>
        </is>
      </c>
      <c r="J18" s="7" t="inlineStr">
        <is>
          <t>None</t>
        </is>
      </c>
      <c r="K18" s="7" t="inlineStr">
        <is>
          <t>micro-B (flash + serial monitor)</t>
        </is>
      </c>
      <c r="L18" s="7" t="inlineStr">
        <is>
          <t>None</t>
        </is>
      </c>
      <c r="M18" s="7" t="inlineStr">
        <is>
          <t>1 external reset CV on GPIO 33 — rising-edge detection with hysteresis (fires above 2000, re-arms below 500)</t>
        </is>
      </c>
      <c r="N18" s="7" t="inlineStr">
        <is>
          <t>4 via MCP4728: A = clock (10 ms, +5 V), B = reset, C = manual CV from the pot (0–10 V, LINK mode only), D = run gate</t>
        </is>
      </c>
      <c r="O18" s="7" t="inlineStr">
        <is>
          <t>None</t>
        </is>
      </c>
      <c r="P18" s="7" t="inlineStr">
        <is>
          <t>None</t>
        </is>
      </c>
      <c r="Q18" s="7" t="inlineStr">
        <is>
          <t>None — onboard status LED indicates mode</t>
        </is>
      </c>
      <c r="R18" s="7" t="inlineStr">
        <is>
          <t>1 pot (BPM 40–300 in INTERNAL, CV value in LINK), ON-OFF-ON switch for OFF / INTERNAL / LINK</t>
        </is>
      </c>
      <c r="S18" s="7" t="inlineStr">
        <is>
          <t>The original Ableton Link clock — three modes on one switch — and the module ClkLinkRec was built to replace. GPL-2.0-or-later, because it links Ableton Link.</t>
        </is>
      </c>
      <c r="T18" s="7" t="inlineStr">
        <is>
          <t>High</t>
        </is>
      </c>
      <c r="U18" s="7" t="inlineStr">
        <is>
          <t>docs/ESP32_CLKLINK.md; MODULES.md</t>
        </is>
      </c>
    </row>
    <row r="19" ht="89.60000000000001" customHeight="1">
      <c r="A19" s="6" t="inlineStr">
        <is>
          <t>AMYboard PatchBank</t>
        </is>
      </c>
      <c r="B19" s="7" t="inlineStr">
        <is>
          <t>Own build</t>
        </is>
      </c>
      <c r="C19" s="7" t="inlineStr">
        <is>
          <t>Eight4aWish · eurorack_modules/src/amyboard_patchbank</t>
        </is>
      </c>
      <c r="D19" s="7" t="inlineStr">
        <is>
          <t>10 HP, 3U</t>
        </is>
      </c>
      <c r="E19" s="7" t="inlineStr">
        <is>
          <t>shorepine AMYboard — ESP32-S3-WROOM-1</t>
        </is>
      </c>
      <c r="F19" s="7" t="inlineStr">
        <is>
          <t>Dual-core Xtensa LX7 @ 240 MHz</t>
        </is>
      </c>
      <c r="G19" s="7" t="inlineStr">
        <is>
          <t>8 MB</t>
        </is>
      </c>
      <c r="H19" s="7" t="inlineStr">
        <is>
          <t>Board flash; the app is MicroPython under Tulip, deployed over the REPL rather than PlatformIO</t>
        </is>
      </c>
      <c r="I19" s="7" t="inlineStr">
        <is>
          <t>Wi-Fi + Bluetooth on the ESP32-S3 — present on the board, not used by this app</t>
        </is>
      </c>
      <c r="J19" s="7" t="inlineStr">
        <is>
          <t>microSD on the board for sample storage — not used by this app</t>
        </is>
      </c>
      <c r="K19" s="7" t="inlineStr">
        <is>
          <t>USB-C with a native USB-CDC REPL (mpremote fights this board — copy over the raw REPL)</t>
        </is>
      </c>
      <c r="L19" s="7" t="inlineStr">
        <is>
          <t>TRS MIDI in and out; the app plays notes omni and polyphonically. Do NOT cascade MIDI clock in — Tulip slaves its frame clock to it and the UI freezes when the clock stops</t>
        </is>
      </c>
      <c r="M19" s="7" t="inlineStr">
        <is>
          <t>CV0 = 1 V/oct pitch, CV1 = gate, read through amyboard.cv_in() (not tulip.cv_in(), which is a different source)</t>
        </is>
      </c>
      <c r="N19" s="7" t="inlineStr">
        <is>
          <t>Board has CV out; unused by this app</t>
        </is>
      </c>
      <c r="O19" s="7" t="inlineStr">
        <is>
          <t>Stereo analog in plus stereo S/PDIF in; DIP switches pick 1 Vpp line or 10 Vpp modular level</t>
        </is>
      </c>
      <c r="P19" s="7" t="inlineStr">
        <is>
          <t>Stereo analog out plus stereo S/PDIF out, same level switching</t>
        </is>
      </c>
      <c r="Q19" s="7" t="inlineStr">
        <is>
          <t>Adafruit SSD1327 128×128 grayscale OLED at 0x3D on the front Grove/STEMMA I2C bus (SDA=GPIO17, SCL=GPIO18, 400 kHz), blitted in 256-byte chunks — an 8 KB transaction browns the board out</t>
        </is>
      </c>
      <c r="R19" s="7" t="inlineStr">
        <is>
          <t>One Adafruit Seesaw rotary encoder at 0x36 with push switch: short press = down / tab forward, long press = up</t>
        </is>
      </c>
      <c r="S19" s="7" t="inlineStr">
        <is>
          <t>Twenty curated AMY patches — ten pads, ten basses — one encoder click away, each with up to four live macros and no menu diving.</t>
        </is>
      </c>
      <c r="T19" s="7" t="inlineStr">
        <is>
          <t>High</t>
        </is>
      </c>
      <c r="U19" s="7" t="inlineStr">
        <is>
          <t>src/amyboard_patchbank/README.md; shorepine AMYboard docs</t>
        </is>
      </c>
    </row>
    <row r="20" ht="102.4" customHeight="1">
      <c r="A20" s="6" t="inlineStr">
        <is>
          <t>Seeed Recorder</t>
        </is>
      </c>
      <c r="B20" s="7" t="inlineStr">
        <is>
          <t>Own build</t>
        </is>
      </c>
      <c r="C20" s="7" t="inlineStr">
        <is>
          <t>Eight4aWish · seeed-recorder/firmware</t>
        </is>
      </c>
      <c r="D20" s="7" t="inlineStr">
        <is>
          <t>8 HP, 1U (Intellijel format)</t>
        </is>
      </c>
      <c r="E20" s="7" t="inlineStr">
        <is>
          <t>Seeed Xiao RP2040</t>
        </is>
      </c>
      <c r="F20" s="7" t="inlineStr">
        <is>
          <t>Dual Cortex-M0+ @ 133 MHz</t>
        </is>
      </c>
      <c r="G20" s="7" t="inlineStr">
        <is>
          <t>264 KB SRAM</t>
        </is>
      </c>
      <c r="H20" s="7" t="inlineStr">
        <is>
          <t>2 MB flash</t>
        </is>
      </c>
      <c r="I20" s="7" t="inlineStr">
        <is>
          <t>None</t>
        </is>
      </c>
      <c r="J20" s="7" t="inlineStr">
        <is>
          <t>None</t>
        </is>
      </c>
      <c r="K20" s="7" t="inlineStr">
        <is>
          <t>USB-C, class-compliant USB-MIDI — enumerates as 'Seeed Recorder'. USB-powered from the panel jack: no Eurorack bus power in v1, so it is the one tile in the row drawing nothing from the bus</t>
        </is>
      </c>
      <c r="L20" s="7" t="inlineStr">
        <is>
          <t>USB-MIDI both ways on channel 16, note 60. Press → Note On vel 127; Mac → vel 127 solid / vel 1 off / vel 64 blink at ~1 Hz for a capture error. Any MIDI controller sending the same note triggers it too</t>
        </is>
      </c>
      <c r="M20" s="7" t="inlineStr">
        <is>
          <t>None</t>
        </is>
      </c>
      <c r="N20" s="7" t="inlineStr">
        <is>
          <t>None</t>
        </is>
      </c>
      <c r="O20" s="7" t="inlineStr">
        <is>
          <t>None — the Mac holds the audio</t>
        </is>
      </c>
      <c r="P20" s="7" t="inlineStr">
        <is>
          <t>None — the Mac holds the audio</t>
        </is>
      </c>
      <c r="Q20" s="7" t="inlineStr">
        <is>
          <t>None — one LED on D0 through a 220 Ω resistor (use red or yellow; blue/green/white won't run well at 3.3 V drive)</t>
        </is>
      </c>
      <c r="R20" s="7" t="inlineStr">
        <is>
          <t>One momentary tactile button on D5, INPUT_PULLUP, ~20 ms debounce</t>
        </is>
      </c>
      <c r="S20" s="7" t="inlineStr">
        <is>
          <t>One button that tells the Mac to write out the last minute of everything the rack was already playing — for when the best take just happened and nothing was recording.</t>
        </is>
      </c>
      <c r="T20" s="7" t="inlineStr">
        <is>
          <t>High</t>
        </is>
      </c>
      <c r="U20" s="7" t="inlineStr">
        <is>
          <t>seeed-recorder/CLAUDE.md; docs/RECORDER_PROTOCOL.md</t>
        </is>
      </c>
    </row>
    <row r="21" ht="38.40000000000001" customHeight="1">
      <c r="A21" s="6" t="inlineStr">
        <is>
          <t>MOD2 / Melon</t>
        </is>
      </c>
      <c r="B21" s="7" t="inlineStr">
        <is>
          <t>Own build</t>
        </is>
      </c>
      <c r="C21" s="7" t="inlineStr">
        <is>
          <t>Eight4aWish · eurorack_electronics/docs/mod2_*</t>
        </is>
      </c>
      <c r="D21" s="7" t="inlineStr">
        <is>
          <t>6 HP, 3U (n8synth)</t>
        </is>
      </c>
      <c r="E21" s="7" t="inlineStr">
        <is>
          <t>Seeed XIAO RP2350 (U3 on the netlist)</t>
        </is>
      </c>
      <c r="F21" s="7" t="inlineStr">
        <is>
          <t>Dual Cortex-M33 @ 150 MHz</t>
        </is>
      </c>
      <c r="G21" s="7" t="inlineStr">
        <is>
          <t>520 KB SRAM</t>
        </is>
      </c>
      <c r="H21" s="7" t="inlineStr">
        <is>
          <t>2 MB flash</t>
        </is>
      </c>
      <c r="I21" s="7" t="inlineStr">
        <is>
          <t>None</t>
        </is>
      </c>
      <c r="J21" s="7" t="inlineStr">
        <is>
          <t>None</t>
        </is>
      </c>
      <c r="K21" s="7" t="inlineStr">
        <is>
          <t>USB-C on the XIAO</t>
        </is>
      </c>
      <c r="L21" s="7" t="inlineStr">
        <is>
          <t>None</t>
        </is>
      </c>
      <c r="M21" s="7" t="inlineStr">
        <is>
          <t>CV IN (J2), IN1/TRIG (J4), IN2/LEVEL (J3) — Schottky-clamped, 3.3 V is the ADC reference</t>
        </is>
      </c>
      <c r="N21" s="7" t="inlineStr">
        <is>
          <t>None</t>
        </is>
      </c>
      <c r="O21" s="7" t="inlineStr">
        <is>
          <t>None</t>
        </is>
      </c>
      <c r="P21" s="7" t="inlineStr">
        <is>
          <t>AUDIO OUT (J6), AC-coupled through C18</t>
        </is>
      </c>
      <c r="Q21" s="7" t="inlineStr">
        <is>
          <t>None — a plain LED (D9) and a WS2812B breakout, both on GPIO5</t>
        </is>
      </c>
      <c r="R21" s="7" t="inlineStr">
        <is>
          <t>3 pots (P1–P3), SW1 button, and SW2/SW3 — JP1 and JP2 promoted from PCB jumpers to panel switches</t>
        </is>
      </c>
      <c r="S21" s="7" t="inlineStr">
        <is>
          <t>One board that runs twenty-five published HAGIWO voices — every MOD2 and Melon firmware, unmodified.</t>
        </is>
      </c>
      <c r="T21" s="7" t="inlineStr">
        <is>
          <t>High</t>
        </is>
      </c>
      <c r="U21" s="7" t="inlineStr">
        <is>
          <t>eurorack_electronics/docs/mod2_netlist.md; MODULES.md</t>
        </is>
      </c>
    </row>
    <row r="22" ht="18" customHeight="1">
      <c r="A22" s="8" t="inlineStr">
        <is>
          <t>PURCHASED AND DIY KITS</t>
        </is>
      </c>
      <c r="B22" s="9" t="n"/>
      <c r="C22" s="9" t="n"/>
      <c r="D22" s="9" t="n"/>
      <c r="E22" s="9" t="n"/>
      <c r="F22" s="9" t="n"/>
      <c r="G22" s="9" t="n"/>
      <c r="H22" s="9" t="n"/>
      <c r="I22" s="9" t="n"/>
      <c r="J22" s="9" t="n"/>
      <c r="K22" s="9" t="n"/>
      <c r="L22" s="9" t="n"/>
      <c r="M22" s="9" t="n"/>
      <c r="N22" s="9" t="n"/>
      <c r="O22" s="9" t="n"/>
      <c r="P22" s="9" t="n"/>
      <c r="Q22" s="9" t="n"/>
      <c r="R22" s="9" t="n"/>
      <c r="S22" s="9" t="n"/>
      <c r="T22" s="9" t="n"/>
      <c r="U22" s="9" t="n"/>
    </row>
    <row r="23" ht="38.40000000000001" customHeight="1">
      <c r="A23" s="10" t="inlineStr">
        <is>
          <t>Ornament &amp; Crime v4.1 ("O.R.N.8")</t>
        </is>
      </c>
      <c r="B23" s="7" t="inlineStr">
        <is>
          <t>Purchased</t>
        </is>
      </c>
      <c r="C23" s="7" t="inlineStr">
        <is>
          <t>CCTV</t>
        </is>
      </c>
      <c r="D23" s="7" t="inlineStr">
        <is>
          <t>12 HP, 3U</t>
        </is>
      </c>
      <c r="E23" s="7" t="inlineStr">
        <is>
          <t>Teensy 4.1 — NXP i.MX RT1062</t>
        </is>
      </c>
      <c r="F23" s="7" t="inlineStr">
        <is>
          <t>Cortex-M7 @ 600 MHz, hardware FPU</t>
        </is>
      </c>
      <c r="G23" s="7" t="inlineStr">
        <is>
          <t>1 MB</t>
        </is>
      </c>
      <c r="H23" s="7" t="inlineStr">
        <is>
          <t>8 MB on-board flash</t>
        </is>
      </c>
      <c r="I23" s="7" t="inlineStr">
        <is>
          <t>None</t>
        </is>
      </c>
      <c r="J23" s="7" t="inlineStr">
        <is>
          <t>microSD socket on the Teensy 4.1</t>
        </is>
      </c>
      <c r="K23" s="7" t="inlineStr">
        <is>
          <t>USB micro-B</t>
        </is>
      </c>
      <c r="L23" s="7" t="inlineStr">
        <is>
          <t>USB MIDI — four MIDI-In quadrants programmed under Phazerville 2.0</t>
        </is>
      </c>
      <c r="M23" s="7" t="inlineStr">
        <is>
          <t>8 CV in (jacks 1–8), plus audio in L/R</t>
        </is>
      </c>
      <c r="N23" s="7" t="inlineStr">
        <is>
          <t>8 CV out (jacks a–h), plus audio out L/R</t>
        </is>
      </c>
      <c r="O23" s="7" t="inlineStr">
        <is>
          <t>Audio in L and R</t>
        </is>
      </c>
      <c r="P23" s="7" t="inlineStr">
        <is>
          <t>Audio out L and R</t>
        </is>
      </c>
      <c r="Q23" s="7" t="inlineStr">
        <is>
          <t>OLED</t>
        </is>
      </c>
      <c r="R23" s="7" t="inlineStr">
        <is>
          <t>4 corner buttons (A/B/X/Y), 2 encoders, 1 small button between them</t>
        </is>
      </c>
      <c r="S23" s="7" t="inlineStr">
        <is>
          <t>Eight ins, eight outs and a whole app library — the rack's most reprogrammable utility, and one of its three clock sources.</t>
        </is>
      </c>
      <c r="T23" s="7" t="inlineStr">
        <is>
          <t>High (MCU) / Medium (jacks)</t>
        </is>
      </c>
      <c r="U23" s="7" t="inlineStr">
        <is>
          <t>MODULES.md; eight4awish-video/src/rigModules.ts (panel modelled from a product photo)</t>
        </is>
      </c>
    </row>
    <row r="24" ht="38.40000000000001" customHeight="1">
      <c r="A24" s="10" t="inlineStr">
        <is>
          <t>Plaits</t>
        </is>
      </c>
      <c r="B24" s="7" t="inlineStr">
        <is>
          <t>Purchased</t>
        </is>
      </c>
      <c r="C24" s="7" t="inlineStr">
        <is>
          <t>CCTV (Immutable clone, Mutable design)</t>
        </is>
      </c>
      <c r="D24" s="7" t="inlineStr">
        <is>
          <t>12 HP, 3U</t>
        </is>
      </c>
      <c r="E24" s="7" t="inlineStr">
        <is>
          <t>STM32F373CCT6</t>
        </is>
      </c>
      <c r="F24" s="7" t="inlineStr">
        <is>
          <t>Cortex-M4F @ 72 MHz, with 16-bit sigma-delta ADCs</t>
        </is>
      </c>
      <c r="G24" s="7" t="inlineStr">
        <is>
          <t>Small internal SRAM</t>
        </is>
      </c>
      <c r="H24" s="7" t="inlineStr">
        <is>
          <t>Internal flash — running Plaits 1.2 alt firmware</t>
        </is>
      </c>
      <c r="I24" s="7" t="inlineStr">
        <is>
          <t>None</t>
        </is>
      </c>
      <c r="J24" s="7" t="inlineStr">
        <is>
          <t>None</t>
        </is>
      </c>
      <c r="K24" s="7" t="inlineStr">
        <is>
          <t>None on the panel</t>
        </is>
      </c>
      <c r="L24" s="7" t="inlineStr">
        <is>
          <t>None</t>
        </is>
      </c>
      <c r="M24" s="7" t="inlineStr">
        <is>
          <t>8 in: MODEL, TIMBRE, FM, MORPH, HARMONICS CV, plus TRIG, LEVEL and V/OCT</t>
        </is>
      </c>
      <c r="N24" s="7" t="inlineStr">
        <is>
          <t>None</t>
        </is>
      </c>
      <c r="O24" s="7" t="inlineStr">
        <is>
          <t>None</t>
        </is>
      </c>
      <c r="P24" s="7" t="inlineStr">
        <is>
          <t>OUT and AUX</t>
        </is>
      </c>
      <c r="Q24" s="7" t="inlineStr">
        <is>
          <t>LED column showing model and bank</t>
        </is>
      </c>
      <c r="R24" s="7" t="inlineStr">
        <is>
          <t>MODEL and SETUP buttons, FREQ / HARM / TIMBRE / MORPH knobs, three attenuverters</t>
        </is>
      </c>
      <c r="S24" s="7" t="inlineStr">
        <is>
          <t>Twenty-four synthesis models behind two macro knobs — the oscillator in the CortHex voice.</t>
        </is>
      </c>
      <c r="T24" s="7" t="inlineStr">
        <is>
          <t>Medium</t>
        </is>
      </c>
      <c r="U24" s="7" t="inlineStr">
        <is>
          <t>MCU is the Mutable original's part (faithful DIY clone, not read off this board); jacks from rigModules.ts</t>
        </is>
      </c>
    </row>
    <row r="25" ht="30" customHeight="1">
      <c r="A25" s="10" t="inlineStr">
        <is>
          <t>Rings</t>
        </is>
      </c>
      <c r="B25" s="7" t="inlineStr">
        <is>
          <t>Purchased</t>
        </is>
      </c>
      <c r="C25" s="7" t="inlineStr">
        <is>
          <t>CCTV (Immutable clone, Thonk DIY kit)</t>
        </is>
      </c>
      <c r="D25" s="7" t="inlineStr">
        <is>
          <t>14 HP, 3U</t>
        </is>
      </c>
      <c r="E25" s="7" t="inlineStr">
        <is>
          <t>STM32 (Mutable original; exact part not verified here)</t>
        </is>
      </c>
      <c r="F25" s="7" t="inlineStr">
        <is>
          <t>Not verified</t>
        </is>
      </c>
      <c r="G25" s="7" t="inlineStr">
        <is>
          <t>Not verified</t>
        </is>
      </c>
      <c r="H25" s="7" t="inlineStr">
        <is>
          <t>Internal flash</t>
        </is>
      </c>
      <c r="I25" s="7" t="inlineStr">
        <is>
          <t>None</t>
        </is>
      </c>
      <c r="J25" s="7" t="inlineStr">
        <is>
          <t>None</t>
        </is>
      </c>
      <c r="K25" s="7" t="inlineStr">
        <is>
          <t>None</t>
        </is>
      </c>
      <c r="L25" s="7" t="inlineStr">
        <is>
          <t>None</t>
        </is>
      </c>
      <c r="M25" s="7" t="inlineStr">
        <is>
          <t>Not recorded in the repos — check the panel</t>
        </is>
      </c>
      <c r="N25" s="7" t="inlineStr">
        <is>
          <t>Not recorded in the repos — check the panel</t>
        </is>
      </c>
      <c r="O25" s="7" t="inlineStr">
        <is>
          <t>Audio in (exciter)</t>
        </is>
      </c>
      <c r="P25" s="7" t="inlineStr">
        <is>
          <t>ODD and EVEN outs</t>
        </is>
      </c>
      <c r="Q25" s="7" t="inlineStr">
        <is>
          <t>LEDs</t>
        </is>
      </c>
      <c r="R25" s="7" t="inlineStr">
        <is>
          <t>Not recorded</t>
        </is>
      </c>
      <c r="S25" s="7" t="inlineStr">
        <is>
          <t>The physical-modelling resonator that made writing a Rings engine for MultiOsc unnecessary.</t>
        </is>
      </c>
      <c r="T25" s="7" t="inlineStr">
        <is>
          <t>Low</t>
        </is>
      </c>
      <c r="U25" s="7" t="inlineStr">
        <is>
          <t>MODULES.md; MCU family inferred from the Mutable design, not verified</t>
        </is>
      </c>
    </row>
    <row r="26" ht="30" customHeight="1">
      <c r="A26" s="10" t="inlineStr">
        <is>
          <t>Peaks</t>
        </is>
      </c>
      <c r="B26" s="7" t="inlineStr">
        <is>
          <t>Purchased</t>
        </is>
      </c>
      <c r="C26" s="7" t="inlineStr">
        <is>
          <t>CCTV (Immutable clone, Mutable design)</t>
        </is>
      </c>
      <c r="D26" s="7" t="inlineStr">
        <is>
          <t>8 HP, 3U</t>
        </is>
      </c>
      <c r="E26" s="7" t="inlineStr">
        <is>
          <t>STM32F10x (Mutable original)</t>
        </is>
      </c>
      <c r="F26" s="7" t="inlineStr">
        <is>
          <t>Cortex-M3 @ 72 MHz, integer maths</t>
        </is>
      </c>
      <c r="G26" s="7" t="inlineStr">
        <is>
          <t>Small internal SRAM</t>
        </is>
      </c>
      <c r="H26" s="7" t="inlineStr">
        <is>
          <t>Internal flash</t>
        </is>
      </c>
      <c r="I26" s="7" t="inlineStr">
        <is>
          <t>None</t>
        </is>
      </c>
      <c r="J26" s="7" t="inlineStr">
        <is>
          <t>None</t>
        </is>
      </c>
      <c r="K26" s="7" t="inlineStr">
        <is>
          <t>None</t>
        </is>
      </c>
      <c r="L26" s="7" t="inlineStr">
        <is>
          <t>None</t>
        </is>
      </c>
      <c r="M26" s="7" t="inlineStr">
        <is>
          <t>2 trigger in</t>
        </is>
      </c>
      <c r="N26" s="7" t="inlineStr">
        <is>
          <t>2 out</t>
        </is>
      </c>
      <c r="O26" s="7" t="inlineStr">
        <is>
          <t>None</t>
        </is>
      </c>
      <c r="P26" s="7" t="inlineStr">
        <is>
          <t>Doubles as a drum-synth audio out</t>
        </is>
      </c>
      <c r="Q26" s="7" t="inlineStr">
        <is>
          <t>LEDs</t>
        </is>
      </c>
      <c r="R26" s="7" t="inlineStr">
        <is>
          <t>2 knobs, buttons</t>
        </is>
      </c>
      <c r="S26" s="7" t="inlineStr">
        <is>
          <t>Four functions in 8 HP — ADSR, LFO, tap-tempo LFO and a drum synth.</t>
        </is>
      </c>
      <c r="T26" s="7" t="inlineStr">
        <is>
          <t>Medium</t>
        </is>
      </c>
      <c r="U26" s="7" t="inlineStr">
        <is>
          <t>MODULES.md; MCU per Mutable's own tech notes for the original</t>
        </is>
      </c>
    </row>
    <row r="27" ht="38.40000000000001" customHeight="1">
      <c r="A27" s="10" t="inlineStr">
        <is>
          <t>Monsoon</t>
        </is>
      </c>
      <c r="B27" s="7" t="inlineStr">
        <is>
          <t>Purchased</t>
        </is>
      </c>
      <c r="C27" s="7" t="inlineStr">
        <is>
          <t>Jakplugg (Clouds redesign)</t>
        </is>
      </c>
      <c r="D27" s="7" t="inlineStr">
        <is>
          <t>12 HP, 3U</t>
        </is>
      </c>
      <c r="E27" s="7" t="inlineStr">
        <is>
          <t>STM32F405 + WM8731 audio codec</t>
        </is>
      </c>
      <c r="F27" s="7" t="inlineStr">
        <is>
          <t>Cortex-M4F @ 168 MHz</t>
        </is>
      </c>
      <c r="G27" s="7" t="inlineStr">
        <is>
          <t>Internal SRAM</t>
        </is>
      </c>
      <c r="H27" s="7" t="inlineStr">
        <is>
          <t>Internal flash — reflashable with Parasites or stock Clouds firmware</t>
        </is>
      </c>
      <c r="I27" s="7" t="inlineStr">
        <is>
          <t>None</t>
        </is>
      </c>
      <c r="J27" s="7" t="inlineStr">
        <is>
          <t>None</t>
        </is>
      </c>
      <c r="K27" s="7" t="inlineStr">
        <is>
          <t>None</t>
        </is>
      </c>
      <c r="L27" s="7" t="inlineStr">
        <is>
          <t>None</t>
        </is>
      </c>
      <c r="M27" s="7" t="inlineStr">
        <is>
          <t>Not recorded in the repos — check the panel; the four granular parameters each have their own CV in</t>
        </is>
      </c>
      <c r="N27" s="7" t="inlineStr">
        <is>
          <t>None</t>
        </is>
      </c>
      <c r="O27" s="7" t="inlineStr">
        <is>
          <t>Stereo in</t>
        </is>
      </c>
      <c r="P27" s="7" t="inlineStr">
        <is>
          <t>Stereo out</t>
        </is>
      </c>
      <c r="Q27" s="7" t="inlineStr">
        <is>
          <t>Red/green bi-colour illuminated faders showing CV polarity and level</t>
        </is>
      </c>
      <c r="R27" s="7" t="inlineStr">
        <is>
          <t>Four illuminated faders plus the blend controls split into four separate knobs</t>
        </is>
      </c>
      <c r="S27" s="7" t="inlineStr">
        <is>
          <t>Clouds' granular texture engine in 12 HP, with faders that show you the polarity and depth of their own CV.</t>
        </is>
      </c>
      <c r="T27" s="7" t="inlineStr">
        <is>
          <t>Medium</t>
        </is>
      </c>
      <c r="U27" s="7" t="inlineStr">
        <is>
          <t>MODULES.md; MCU from published Monsoon/Clouds build documentation</t>
        </is>
      </c>
    </row>
    <row r="28" ht="51.2" customHeight="1">
      <c r="A28" s="10" t="inlineStr">
        <is>
          <t>Workshop Computer</t>
        </is>
      </c>
      <c r="B28" s="7" t="inlineStr">
        <is>
          <t>Purchased</t>
        </is>
      </c>
      <c r="C28" s="7" t="inlineStr">
        <is>
          <t>Music Thing Modular</t>
        </is>
      </c>
      <c r="D28" s="7" t="inlineStr">
        <is>
          <t>8 HP, 3U</t>
        </is>
      </c>
      <c r="E28" s="7" t="inlineStr">
        <is>
          <t>RP2040</t>
        </is>
      </c>
      <c r="F28" s="7" t="inlineStr">
        <is>
          <t>Dual Cortex-M0+ @ 133 MHz</t>
        </is>
      </c>
      <c r="G28" s="7" t="inlineStr">
        <is>
          <t>264 KB</t>
        </is>
      </c>
      <c r="H28" s="7" t="inlineStr">
        <is>
          <t>Removable program cards holding 2 MB or 16 MB — the card is the entire program memory, not an SD card</t>
        </is>
      </c>
      <c r="I28" s="7" t="inlineStr">
        <is>
          <t>None</t>
        </is>
      </c>
      <c r="J28" s="7" t="inlineStr">
        <is>
          <t>None — program cards instead</t>
        </is>
      </c>
      <c r="K28" s="7" t="inlineStr">
        <is>
          <t>USB-C</t>
        </is>
      </c>
      <c r="L28" s="7" t="inlineStr">
        <is>
          <t>Running the Simple MIDI program card for two fixed voices; MIDI port shows as 'Workshop System MIDI'</t>
        </is>
      </c>
      <c r="M28" s="7" t="inlineStr">
        <is>
          <t>2 CV/audio in, 2 CV in, 2 pulse in</t>
        </is>
      </c>
      <c r="N28" s="7" t="inlineStr">
        <is>
          <t>2 CV/audio out (external SPI DAC), 2 precision CV out (filtered PWM), 2 pulse out</t>
        </is>
      </c>
      <c r="O28" s="7" t="inlineStr">
        <is>
          <t>Shared with the CV/audio in pair</t>
        </is>
      </c>
      <c r="P28" s="7" t="inlineStr">
        <is>
          <t>Shared with the CV/audio out pair</t>
        </is>
      </c>
      <c r="Q28" s="7" t="inlineStr">
        <is>
          <t>6 LEDs</t>
        </is>
      </c>
      <c r="R28" s="7" t="inlineStr">
        <is>
          <t>MAIN / X / Y knobs and a momentary-toggle Z switch</t>
        </is>
      </c>
      <c r="S28" s="7" t="inlineStr">
        <is>
          <t>A whole RP2040 computer whose program is a card you swap — reprogrammable in Arduino, C++ or CircuitPython.</t>
        </is>
      </c>
      <c r="T28" s="7" t="inlineStr">
        <is>
          <t>High</t>
        </is>
      </c>
      <c r="U28" s="7" t="inlineStr">
        <is>
          <t>MODULES.md; musicthing.co.uk Computer documentation</t>
        </is>
      </c>
    </row>
    <row r="29" ht="38.40000000000001" customHeight="1">
      <c r="A29" s="10" t="inlineStr">
        <is>
          <t>EuroPi</t>
        </is>
      </c>
      <c r="B29" s="7" t="inlineStr">
        <is>
          <t>Purchased</t>
        </is>
      </c>
      <c r="C29" s="7" t="inlineStr">
        <is>
          <t>Allen Synthesis (built with a Pico 2 W)</t>
        </is>
      </c>
      <c r="D29" s="7" t="inlineStr">
        <is>
          <t>8 HP, 3U</t>
        </is>
      </c>
      <c r="E29" s="7" t="inlineStr">
        <is>
          <t>RP2350 on a Raspberry Pi Pico 2 W, plus a CYW43439 radio</t>
        </is>
      </c>
      <c r="F29" s="7" t="inlineStr">
        <is>
          <t>Dual Cortex-M33 @ 150 MHz</t>
        </is>
      </c>
      <c r="G29" s="7" t="inlineStr">
        <is>
          <t>520 KB SRAM</t>
        </is>
      </c>
      <c r="H29" s="7" t="inlineStr">
        <is>
          <t>4 MB QSPI flash; programs in MicroPython</t>
        </is>
      </c>
      <c r="I29" s="7" t="inlineStr">
        <is>
          <t>2.4 GHz Wi-Fi + BLE on the Pico 2 W</t>
        </is>
      </c>
      <c r="J29" s="7" t="inlineStr">
        <is>
          <t>None — config lives at /config/EuroPiConfig.json on the Pico itself</t>
        </is>
      </c>
      <c r="K29" s="7" t="inlineStr">
        <is>
          <t>micro-B</t>
        </is>
      </c>
      <c r="L29" s="7" t="inlineStr">
        <is>
          <t>None</t>
        </is>
      </c>
      <c r="M29" s="7" t="inlineStr">
        <is>
          <t>1 analogue CV in and 1 digital/clock in</t>
        </is>
      </c>
      <c r="N29" s="7" t="inlineStr">
        <is>
          <t>6 CV out</t>
        </is>
      </c>
      <c r="O29" s="7" t="inlineStr">
        <is>
          <t>None</t>
        </is>
      </c>
      <c r="P29" s="7" t="inlineStr">
        <is>
          <t>None</t>
        </is>
      </c>
      <c r="Q29" s="7" t="inlineStr">
        <is>
          <t>OLED</t>
        </is>
      </c>
      <c r="R29" s="7" t="inlineStr">
        <is>
          <t>2 knobs, 2 buttons</t>
        </is>
      </c>
      <c r="S29" s="7" t="inlineStr">
        <is>
          <t>A Pamela's-style clock on exactly the same Pico 2 W board as the OnC Lite, so board-level findings carry straight between them.</t>
        </is>
      </c>
      <c r="T29" s="7" t="inlineStr">
        <is>
          <t>Medium</t>
        </is>
      </c>
      <c r="U29" s="7" t="inlineStr">
        <is>
          <t>MODULES.md; EuroPi published specification</t>
        </is>
      </c>
    </row>
    <row r="30" ht="30" customHeight="1">
      <c r="A30" s="10" t="inlineStr">
        <is>
          <t>Alchemy Lab</t>
        </is>
      </c>
      <c r="B30" s="7" t="inlineStr">
        <is>
          <t>Purchased</t>
        </is>
      </c>
      <c r="C30" s="7" t="inlineStr">
        <is>
          <t>Hermetic Modular</t>
        </is>
      </c>
      <c r="D30" s="7" t="inlineStr">
        <is>
          <t>12 HP, 3U</t>
        </is>
      </c>
      <c r="E30" s="7" t="inlineStr">
        <is>
          <t>Electrosmith Daisy Seed 2 DFM — STM32H750</t>
        </is>
      </c>
      <c r="F30" s="7" t="inlineStr">
        <is>
          <t>Cortex-M7 @ 480 MHz, hardware FPU</t>
        </is>
      </c>
      <c r="G30" s="7" t="inlineStr">
        <is>
          <t>64 MB SDRAM</t>
        </is>
      </c>
      <c r="H30" s="7" t="inlineStr">
        <is>
          <t>16 MB flash (per maker); MIT-licensed SDK (hermetic-modular/alchemy-sdk)</t>
        </is>
      </c>
      <c r="I30" s="7" t="inlineStr">
        <is>
          <t>None</t>
        </is>
      </c>
      <c r="J30" s="7" t="inlineStr">
        <is>
          <t>microSD</t>
        </is>
      </c>
      <c r="K30" s="7" t="inlineStr">
        <is>
          <t>USB-C (MIDI)</t>
        </is>
      </c>
      <c r="L30" s="7" t="inlineStr">
        <is>
          <t>USB-C MIDI</t>
        </is>
      </c>
      <c r="M30" s="7" t="inlineStr">
        <is>
          <t>Six firmware-controllable CV jacks (direction set in firmware)</t>
        </is>
      </c>
      <c r="N30" s="7" t="inlineStr">
        <is>
          <t>Six firmware-controllable CV jacks (direction set in firmware)</t>
        </is>
      </c>
      <c r="O30" s="7" t="inlineStr">
        <is>
          <t>Stereo L/R, up to 96 kHz / 24-bit</t>
        </is>
      </c>
      <c r="P30" s="7" t="inlineStr">
        <is>
          <t>Stereo L/R, up to 96 kHz / 24-bit</t>
        </is>
      </c>
      <c r="Q30" s="7" t="inlineStr">
        <is>
          <t>No screen — 102 addressable RGB LEDs</t>
        </is>
      </c>
      <c r="R30" s="7" t="inlineStr">
        <is>
          <t>6 pots, 3 buttons; rear SPI / I2C expansion header</t>
        </is>
      </c>
      <c r="S30" s="7" t="inlineStr">
        <is>
          <t>An open DSP platform with a Daisy inside and 102 addressable LEDs — a dev board you can actually perform.</t>
        </is>
      </c>
      <c r="T30" s="7" t="inlineStr">
        <is>
          <t>Medium</t>
        </is>
      </c>
      <c r="U30" s="7" t="inlineStr">
        <is>
          <t>MODULES.md; hermeticmodular.com/modules/alchemy-lab and the Synth Anatomy launch article (2026-07), checked 2026-09-24</t>
        </is>
      </c>
    </row>
    <row r="31" ht="64" customHeight="1">
      <c r="A31" s="10" t="inlineStr">
        <is>
          <t>Ogham</t>
        </is>
      </c>
      <c r="B31" s="7" t="inlineStr">
        <is>
          <t>Purchased</t>
        </is>
      </c>
      <c r="C31" s="7" t="inlineStr">
        <is>
          <t>Keeos (open hardware; you own a fork of the firmware)</t>
        </is>
      </c>
      <c r="D31" s="7" t="inlineStr">
        <is>
          <t>10 HP, 3U</t>
        </is>
      </c>
      <c r="E31" s="7" t="inlineStr">
        <is>
          <t>Electrosmith Daisy Seed — STM32H750</t>
        </is>
      </c>
      <c r="F31" s="7" t="inlineStr">
        <is>
          <t>Cortex-M7 @ 480 MHz, hardware FPU</t>
        </is>
      </c>
      <c r="G31" s="7" t="inlineStr">
        <is>
          <t>64 MB SDRAM on the Seed</t>
        </is>
      </c>
      <c r="H31" s="7" t="inlineStr">
        <is>
          <t>Runs from internal flash at 0x08000000 — no bootloader, so the whole 128 KB region is the application</t>
        </is>
      </c>
      <c r="I31" s="7" t="inlineStr">
        <is>
          <t>None</t>
        </is>
      </c>
      <c r="J31" s="7" t="inlineStr">
        <is>
          <t>None</t>
        </is>
      </c>
      <c r="K31" s="7" t="inlineStr">
        <is>
          <t>USB-C on the Seed (DFU; or ST-Link via make program)</t>
        </is>
      </c>
      <c r="L31" s="7" t="inlineStr">
        <is>
          <t>None</t>
        </is>
      </c>
      <c r="M31" s="7" t="inlineStr">
        <is>
          <t>4 in: CLK, CV A, CV B, GATE IN</t>
        </is>
      </c>
      <c r="N31" s="7" t="inlineStr">
        <is>
          <t>2 out: CV OUT (envelope follower / DC) and GATE OUT (end-of-cycle, from the BPM estimator)</t>
        </is>
      </c>
      <c r="O31" s="7" t="inlineStr">
        <is>
          <t>None</t>
        </is>
      </c>
      <c r="P31" s="7" t="inlineStr">
        <is>
          <t>OUT 1 and OUT 2 — two mono 8-bit bytebeat voices</t>
        </is>
      </c>
      <c r="Q31" s="7" t="inlineStr">
        <is>
          <t>Display on a header (J_DISP1 / J_DISP_SUPP)</t>
        </is>
      </c>
      <c r="R31" s="7" t="inlineStr">
        <is>
          <t>4 pots (A, B, LEVEL, RATE), rotary encoder, mode toggle. Note the two encoder builds with opposite A/B phase — flash the other one if Func counts down clockwise</t>
        </is>
      </c>
      <c r="S31" s="7" t="inlineStr">
        <is>
          <t>Two 8-bit bytebeat formulas from a pool of 100, playable and CV'd — and the code that became the BYTEBEAT engine in MultiOsc.</t>
        </is>
      </c>
      <c r="T31" s="7" t="inlineStr">
        <is>
          <t>High</t>
        </is>
      </c>
      <c r="U31" s="7" t="inlineStr">
        <is>
          <t>Eight4aWish/ogham fork — firmware/README.md and hardware/README.md</t>
        </is>
      </c>
    </row>
    <row r="32" ht="38.40000000000001" customHeight="1">
      <c r="A32" s="10" t="inlineStr">
        <is>
          <t>Oneiroi</t>
        </is>
      </c>
      <c r="B32" s="7" t="inlineStr">
        <is>
          <t>DIY kit (unbuilt)</t>
        </is>
      </c>
      <c r="C32" s="7" t="inlineStr">
        <is>
          <t>Befaco — Rebel Technology OWL mk3 inside</t>
        </is>
      </c>
      <c r="D32" s="7" t="inlineStr">
        <is>
          <t>30 HP, 3U</t>
        </is>
      </c>
      <c r="E32" s="7" t="inlineStr">
        <is>
          <t>Rebel Technology OWL mk3 — STM32H7</t>
        </is>
      </c>
      <c r="F32" s="7" t="inlineStr">
        <is>
          <t>Cortex-M7</t>
        </is>
      </c>
      <c r="G32" s="7" t="inlineStr">
        <is>
          <t>32 MB RAM</t>
        </is>
      </c>
      <c r="H32" s="7" t="inlineStr">
        <is>
          <t>Internal flash; make targets load to RAM, store to a slot, or emit a sysex file</t>
        </is>
      </c>
      <c r="I32" s="7" t="inlineStr">
        <is>
          <t>None</t>
        </is>
      </c>
      <c r="J32" s="7" t="inlineStr">
        <is>
          <t>None</t>
        </is>
      </c>
      <c r="K32" s="7" t="inlineStr">
        <is>
          <t>USB</t>
        </is>
      </c>
      <c r="L32" s="7" t="inlineStr">
        <is>
          <t>Sysex firmware loading over MIDI</t>
        </is>
      </c>
      <c r="M32" s="7" t="inlineStr">
        <is>
          <t>Not recorded in the repos — check the panel</t>
        </is>
      </c>
      <c r="N32" s="7" t="inlineStr">
        <is>
          <t>Not recorded in the repos — check the panel</t>
        </is>
      </c>
      <c r="O32" s="7" t="inlineStr">
        <is>
          <t>Stereo in</t>
        </is>
      </c>
      <c r="P32" s="7" t="inlineStr">
        <is>
          <t>Stereo out — 24-bit 48 kHz, 32-bit internal processing</t>
        </is>
      </c>
      <c r="Q32" s="7" t="inlineStr">
        <is>
          <t>Not recorded in the repos</t>
        </is>
      </c>
      <c r="R32" s="7" t="inlineStr">
        <is>
          <t>Not recorded in the repos</t>
        </is>
      </c>
      <c r="S32" s="7" t="inlineStr">
        <is>
          <t>A self-contained stereo voice — sine, supersaw, looper-reading wavetable, filter, resonator, echo, reverb, 5 s looper — that is also an OWL you can write your own firmware for.</t>
        </is>
      </c>
      <c r="T32" s="7" t="inlineStr">
        <is>
          <t>Medium</t>
        </is>
      </c>
      <c r="U32" s="7" t="inlineStr">
        <is>
          <t>MODULES.md (bought 2026-09-18, unbuilt); OWL mk3 specification. A modified Oneiroi is on the roadmap</t>
        </is>
      </c>
    </row>
    <row r="33" ht="38.40000000000001" customHeight="1">
      <c r="A33" s="10" t="inlineStr">
        <is>
          <t>FX Aid 1U</t>
        </is>
      </c>
      <c r="B33" s="7" t="inlineStr">
        <is>
          <t>Purchased</t>
        </is>
      </c>
      <c r="C33" s="7" t="inlineStr">
        <is>
          <t>Happy Nerding</t>
        </is>
      </c>
      <c r="D33" s="7" t="inlineStr">
        <is>
          <t>24 HP, 1U (Intellijel format)</t>
        </is>
      </c>
      <c r="E33" s="7" t="inlineStr">
        <is>
          <t>Spin FV-1 — a fixed-function audio DSP, not a general-purpose MCU</t>
        </is>
      </c>
      <c r="F33" s="7" t="inlineStr">
        <is>
          <t>FV-1 core with an on-chip 32 kHz codec</t>
        </is>
      </c>
      <c r="G33" s="7" t="inlineStr">
        <is>
          <t>Internal delay RAM</t>
        </is>
      </c>
      <c r="H33" s="7" t="inlineStr">
        <is>
          <t>External EEPROM holding the effect banks — reflashable</t>
        </is>
      </c>
      <c r="I33" s="7" t="inlineStr">
        <is>
          <t>None</t>
        </is>
      </c>
      <c r="J33" s="7" t="inlineStr">
        <is>
          <t>None — reflashed via the EEPROM</t>
        </is>
      </c>
      <c r="K33" s="7" t="inlineStr">
        <is>
          <t>None</t>
        </is>
      </c>
      <c r="L33" s="7" t="inlineStr">
        <is>
          <t>None</t>
        </is>
      </c>
      <c r="M33" s="7" t="inlineStr">
        <is>
          <t>CV over the dry/wet mix plus the three effect controls</t>
        </is>
      </c>
      <c r="N33" s="7" t="inlineStr">
        <is>
          <t>None</t>
        </is>
      </c>
      <c r="O33" s="7" t="inlineStr">
        <is>
          <t>Audio in</t>
        </is>
      </c>
      <c r="P33" s="7" t="inlineStr">
        <is>
          <t>Audio out</t>
        </is>
      </c>
      <c r="Q33" s="7" t="inlineStr">
        <is>
          <t>None</t>
        </is>
      </c>
      <c r="R33" s="7" t="inlineStr">
        <is>
          <t>3 controls plus an analog dry/wet, 4 storable presets, 4 banks of 8</t>
        </is>
      </c>
      <c r="S33" s="7" t="inlineStr">
        <is>
          <t>Thirty-two reflashable effects in a 1U tile — the rack's only 1U DSP.</t>
        </is>
      </c>
      <c r="T33" s="7" t="inlineStr">
        <is>
          <t>Medium</t>
        </is>
      </c>
      <c r="U33" s="7" t="inlineStr">
        <is>
          <t>MODULES.md. Included for completeness: the FV-1 is a programmable DSP, not a microcontroller</t>
        </is>
      </c>
    </row>
    <row r="34" ht="38.40000000000001" customHeight="1">
      <c r="A34" s="10" t="inlineStr">
        <is>
          <t>Steps ×2</t>
        </is>
      </c>
      <c r="B34" s="7" t="inlineStr">
        <is>
          <t>Purchased</t>
        </is>
      </c>
      <c r="C34" s="7" t="inlineStr">
        <is>
          <t>Behringer (Mutable Stages clone)</t>
        </is>
      </c>
      <c r="D34" s="7" t="inlineStr">
        <is>
          <t>14 HP, 3U</t>
        </is>
      </c>
      <c r="E34" s="7" t="inlineStr">
        <is>
          <t>Digital — MCU not published by Behringer</t>
        </is>
      </c>
      <c r="F34" s="7" t="inlineStr">
        <is>
          <t>Not published (Mutable's own Stages runs a 72 MHz Cortex-M4F)</t>
        </is>
      </c>
      <c r="G34" s="7" t="inlineStr">
        <is>
          <t>Not published</t>
        </is>
      </c>
      <c r="H34" s="7" t="inlineStr">
        <is>
          <t>Not published</t>
        </is>
      </c>
      <c r="I34" s="7" t="inlineStr">
        <is>
          <t>None</t>
        </is>
      </c>
      <c r="J34" s="7" t="inlineStr">
        <is>
          <t>None</t>
        </is>
      </c>
      <c r="K34" s="7" t="inlineStr">
        <is>
          <t>None</t>
        </is>
      </c>
      <c r="L34" s="7" t="inlineStr">
        <is>
          <t>None</t>
        </is>
      </c>
      <c r="M34" s="7" t="inlineStr">
        <is>
          <t>6 gate/CV in per unit</t>
        </is>
      </c>
      <c r="N34" s="7" t="inlineStr">
        <is>
          <t>6 out per unit</t>
        </is>
      </c>
      <c r="O34" s="7" t="inlineStr">
        <is>
          <t>None</t>
        </is>
      </c>
      <c r="P34" s="7" t="inlineStr">
        <is>
          <t>None</t>
        </is>
      </c>
      <c r="Q34" s="7" t="inlineStr">
        <is>
          <t>Sliders with RGB LEDs</t>
        </is>
      </c>
      <c r="R34" s="7" t="inlineStr">
        <is>
          <t>6 sliders and 6 mode buttons per unit</t>
        </is>
      </c>
      <c r="S34" s="7" t="inlineStr">
        <is>
          <t>Six segments each, and two units chain to thirty-six — which is presumably why there are two.</t>
        </is>
      </c>
      <c r="T34" s="7" t="inlineStr">
        <is>
          <t>Low</t>
        </is>
      </c>
      <c r="U34" s="7" t="inlineStr">
        <is>
          <t>MODULES.md; original-design MCU from Mutable's tech notes — not Behringer's own silicon</t>
        </is>
      </c>
    </row>
    <row r="35" ht="38.40000000000001" customHeight="1">
      <c r="A35" s="10" t="inlineStr">
        <is>
          <t>Waves</t>
        </is>
      </c>
      <c r="B35" s="7" t="inlineStr">
        <is>
          <t>Purchased</t>
        </is>
      </c>
      <c r="C35" s="7" t="inlineStr">
        <is>
          <t>Behringer (Mutable Tides clone)</t>
        </is>
      </c>
      <c r="D35" s="7" t="inlineStr">
        <is>
          <t>14 HP, 3U</t>
        </is>
      </c>
      <c r="E35" s="7" t="inlineStr">
        <is>
          <t>Digital — MCU not published by Behringer</t>
        </is>
      </c>
      <c r="F35" s="7" t="inlineStr">
        <is>
          <t>Not published (Mutable's own Tides runs a 72 MHz Cortex-M3)</t>
        </is>
      </c>
      <c r="G35" s="7" t="inlineStr">
        <is>
          <t>Not published</t>
        </is>
      </c>
      <c r="H35" s="7" t="inlineStr">
        <is>
          <t>Not published</t>
        </is>
      </c>
      <c r="I35" s="7" t="inlineStr">
        <is>
          <t>None</t>
        </is>
      </c>
      <c r="J35" s="7" t="inlineStr">
        <is>
          <t>None</t>
        </is>
      </c>
      <c r="K35" s="7" t="inlineStr">
        <is>
          <t>None</t>
        </is>
      </c>
      <c r="L35" s="7" t="inlineStr">
        <is>
          <t>None</t>
        </is>
      </c>
      <c r="M35" s="7" t="inlineStr">
        <is>
          <t>Not recorded in the repos — check the panel</t>
        </is>
      </c>
      <c r="N35" s="7" t="inlineStr">
        <is>
          <t>Not recorded in the repos — check the panel</t>
        </is>
      </c>
      <c r="O35" s="7" t="inlineStr">
        <is>
          <t>None</t>
        </is>
      </c>
      <c r="P35" s="7" t="inlineStr">
        <is>
          <t>Audio-rate outs (it runs as a VCDO)</t>
        </is>
      </c>
      <c r="Q35" s="7" t="inlineStr">
        <is>
          <t>LEDs</t>
        </is>
      </c>
      <c r="R35" s="7" t="inlineStr">
        <is>
          <t>Not recorded</t>
        </is>
      </c>
      <c r="S35" s="7" t="inlineStr">
        <is>
          <t>Tidal modulator and oscillator in one, whose Smoothness control is a wavefolder clockwise of centre — which is why it counts as West-Coast folding alongside Chopping Kinky.</t>
        </is>
      </c>
      <c r="T35" s="7" t="inlineStr">
        <is>
          <t>Low</t>
        </is>
      </c>
      <c r="U35" s="7" t="inlineStr">
        <is>
          <t>MODULES.md; original-design MCU from Mutable's tech notes — not Behringer's own silicon</t>
        </is>
      </c>
    </row>
    <row r="36" ht="30" customHeight="1">
      <c r="A36" s="10" t="inlineStr">
        <is>
          <t>Four LFO</t>
        </is>
      </c>
      <c r="B36" s="7" t="inlineStr">
        <is>
          <t>Purchased</t>
        </is>
      </c>
      <c r="C36" s="7" t="inlineStr">
        <is>
          <t>Behringer (Xaoc Batumi clone)</t>
        </is>
      </c>
      <c r="D36" s="7" t="inlineStr">
        <is>
          <t>12 HP, 3U</t>
        </is>
      </c>
      <c r="E36" s="7" t="inlineStr">
        <is>
          <t>Digital — MCU not published</t>
        </is>
      </c>
      <c r="F36" s="7" t="inlineStr">
        <is>
          <t>Not published</t>
        </is>
      </c>
      <c r="G36" s="7" t="inlineStr">
        <is>
          <t>Not published</t>
        </is>
      </c>
      <c r="H36" s="7" t="inlineStr">
        <is>
          <t>Not published</t>
        </is>
      </c>
      <c r="I36" s="7" t="inlineStr">
        <is>
          <t>None</t>
        </is>
      </c>
      <c r="J36" s="7" t="inlineStr">
        <is>
          <t>None</t>
        </is>
      </c>
      <c r="K36" s="7" t="inlineStr">
        <is>
          <t>None</t>
        </is>
      </c>
      <c r="L36" s="7" t="inlineStr">
        <is>
          <t>None</t>
        </is>
      </c>
      <c r="M36" s="7" t="inlineStr">
        <is>
          <t>Reset/sync in per channel</t>
        </is>
      </c>
      <c r="N36" s="7" t="inlineStr">
        <is>
          <t>Multiple assignable waveform outs per LFO</t>
        </is>
      </c>
      <c r="O36" s="7" t="inlineStr">
        <is>
          <t>None</t>
        </is>
      </c>
      <c r="P36" s="7" t="inlineStr">
        <is>
          <t>None</t>
        </is>
      </c>
      <c r="Q36" s="7" t="inlineStr">
        <is>
          <t>LEDs</t>
        </is>
      </c>
      <c r="R36" s="7" t="inlineStr">
        <is>
          <t>One fader per LFO, assignable waveforms</t>
        </is>
      </c>
      <c r="S36" s="7" t="inlineStr">
        <is>
          <t>Four LFOs from 500 Hz down to roughly twenty-eight hours.</t>
        </is>
      </c>
      <c r="T36" s="7" t="inlineStr">
        <is>
          <t>Low</t>
        </is>
      </c>
      <c r="U36" s="7" t="inlineStr">
        <is>
          <t>MODULES.md</t>
        </is>
      </c>
    </row>
    <row r="37" ht="30" customHeight="1">
      <c r="A37" s="10" t="inlineStr">
        <is>
          <t>Scales</t>
        </is>
      </c>
      <c r="B37" s="7" t="inlineStr">
        <is>
          <t>Purchased</t>
        </is>
      </c>
      <c r="C37" s="7" t="inlineStr">
        <is>
          <t>Intellijel</t>
        </is>
      </c>
      <c r="D37" s="7" t="inlineStr">
        <is>
          <t>8 HP, 3U</t>
        </is>
      </c>
      <c r="E37" s="7" t="inlineStr">
        <is>
          <t>Digital — MCU not published</t>
        </is>
      </c>
      <c r="F37" s="7" t="inlineStr">
        <is>
          <t>Not published</t>
        </is>
      </c>
      <c r="G37" s="7" t="inlineStr">
        <is>
          <t>Not published</t>
        </is>
      </c>
      <c r="H37" s="7" t="inlineStr">
        <is>
          <t>Stores 35 sequences of up to 128 steps and user scales</t>
        </is>
      </c>
      <c r="I37" s="7" t="inlineStr">
        <is>
          <t>None</t>
        </is>
      </c>
      <c r="J37" s="7" t="inlineStr">
        <is>
          <t>None</t>
        </is>
      </c>
      <c r="K37" s="7" t="inlineStr">
        <is>
          <t>None</t>
        </is>
      </c>
      <c r="L37" s="7" t="inlineStr">
        <is>
          <t>None</t>
        </is>
      </c>
      <c r="M37" s="7" t="inlineStr">
        <is>
          <t>CV in to quantize, plus clock and Shift CV</t>
        </is>
      </c>
      <c r="N37" s="7" t="inlineStr">
        <is>
          <t>2 CV out — quantized pitch on one, Shift/Interval harmony on the other</t>
        </is>
      </c>
      <c r="O37" s="7" t="inlineStr">
        <is>
          <t>None</t>
        </is>
      </c>
      <c r="P37" s="7" t="inlineStr">
        <is>
          <t>None</t>
        </is>
      </c>
      <c r="Q37" s="7" t="inlineStr">
        <is>
          <t>LEDs</t>
        </is>
      </c>
      <c r="R37" s="7" t="inlineStr">
        <is>
          <t>One-octave keyboard for live scale selection, knobs and buttons</t>
        </is>
      </c>
      <c r="S37" s="7" t="inlineStr">
        <is>
          <t>Thirty-five factory scales and a 128-step sequencer, with a second output that harmonises the first.</t>
        </is>
      </c>
      <c r="T37" s="7" t="inlineStr">
        <is>
          <t>Low</t>
        </is>
      </c>
      <c r="U37" s="7" t="inlineStr">
        <is>
          <t>MODULES.md; Intellijel Scales manual</t>
        </is>
      </c>
    </row>
    <row r="38" ht="38.40000000000001" customHeight="1">
      <c r="A38" s="10" t="inlineStr">
        <is>
          <t>Steppy 1U</t>
        </is>
      </c>
      <c r="B38" s="7" t="inlineStr">
        <is>
          <t>Purchased</t>
        </is>
      </c>
      <c r="C38" s="7" t="inlineStr">
        <is>
          <t>Intellijel</t>
        </is>
      </c>
      <c r="D38" s="7" t="inlineStr">
        <is>
          <t>28 HP, 1U (Intellijel format)</t>
        </is>
      </c>
      <c r="E38" s="7" t="inlineStr">
        <is>
          <t>Digital — MCU not published</t>
        </is>
      </c>
      <c r="F38" s="7" t="inlineStr">
        <is>
          <t>Not published</t>
        </is>
      </c>
      <c r="G38" s="7" t="inlineStr">
        <is>
          <t>Not published</t>
        </is>
      </c>
      <c r="H38" s="7" t="inlineStr">
        <is>
          <t>8 memory slots</t>
        </is>
      </c>
      <c r="I38" s="7" t="inlineStr">
        <is>
          <t>None</t>
        </is>
      </c>
      <c r="J38" s="7" t="inlineStr">
        <is>
          <t>None</t>
        </is>
      </c>
      <c r="K38" s="7" t="inlineStr">
        <is>
          <t>None</t>
        </is>
      </c>
      <c r="L38" s="7" t="inlineStr">
        <is>
          <t>None</t>
        </is>
      </c>
      <c r="M38" s="7" t="inlineStr">
        <is>
          <t>Clock and reset in</t>
        </is>
      </c>
      <c r="N38" s="7" t="inlineStr">
        <is>
          <t>4 gate tracks out</t>
        </is>
      </c>
      <c r="O38" s="7" t="inlineStr">
        <is>
          <t>None</t>
        </is>
      </c>
      <c r="P38" s="7" t="inlineStr">
        <is>
          <t>None</t>
        </is>
      </c>
      <c r="Q38" s="7" t="inlineStr">
        <is>
          <t>Button LEDs</t>
        </is>
      </c>
      <c r="R38" s="7" t="inlineStr">
        <is>
          <t>Per-track length, gate length, clock divider, swing, delay offset and probability</t>
        </is>
      </c>
      <c r="S38" s="7" t="inlineStr">
        <is>
          <t>Four tracks and sixty-four gates in a 1U tile, with probability and swing per track.</t>
        </is>
      </c>
      <c r="T38" s="7" t="inlineStr">
        <is>
          <t>Low</t>
        </is>
      </c>
      <c r="U38" s="7" t="inlineStr">
        <is>
          <t>MODULES.md; Intellijel Steppy manual</t>
        </is>
      </c>
    </row>
    <row r="39" ht="38.40000000000001" customHeight="1">
      <c r="A39" s="10" t="inlineStr">
        <is>
          <t>Beatsi</t>
        </is>
      </c>
      <c r="B39" s="7" t="inlineStr">
        <is>
          <t>Purchased</t>
        </is>
      </c>
      <c r="C39" s="7" t="inlineStr">
        <is>
          <t>Omni-tone</t>
        </is>
      </c>
      <c r="D39" s="7" t="inlineStr">
        <is>
          <t>8 HP, 3U</t>
        </is>
      </c>
      <c r="E39" s="7" t="inlineStr">
        <is>
          <t>Digital — MCU not published</t>
        </is>
      </c>
      <c r="F39" s="7" t="inlineStr">
        <is>
          <t>Not published</t>
        </is>
      </c>
      <c r="G39" s="7" t="inlineStr">
        <is>
          <t>Not published</t>
        </is>
      </c>
      <c r="H39" s="7" t="inlineStr">
        <is>
          <t>Not published</t>
        </is>
      </c>
      <c r="I39" s="7" t="inlineStr">
        <is>
          <t>None</t>
        </is>
      </c>
      <c r="J39" s="7" t="inlineStr">
        <is>
          <t>None</t>
        </is>
      </c>
      <c r="K39" s="7" t="inlineStr">
        <is>
          <t>None</t>
        </is>
      </c>
      <c r="L39" s="7" t="inlineStr">
        <is>
          <t>None</t>
        </is>
      </c>
      <c r="M39" s="7" t="inlineStr">
        <is>
          <t>8 in: KICK, SNARE, HI-HAT, TOM, TOMCV, CRASH triggers plus CV1 and CV2</t>
        </is>
      </c>
      <c r="N39" s="7" t="inlineStr">
        <is>
          <t>None</t>
        </is>
      </c>
      <c r="O39" s="7" t="inlineStr">
        <is>
          <t>None</t>
        </is>
      </c>
      <c r="P39" s="7" t="inlineStr">
        <is>
          <t>One mixed OUT</t>
        </is>
      </c>
      <c r="Q39" s="7" t="inlineStr">
        <is>
          <t>LED matrix</t>
        </is>
      </c>
      <c r="R39" s="7" t="inlineStr">
        <is>
          <t>PARAM and VALUE knobs, HIT button</t>
        </is>
      </c>
      <c r="S39" s="7" t="inlineStr">
        <is>
          <t>Six trigger inputs into one drum voice — fed straight from O&amp;C outs e/f/g/h.</t>
        </is>
      </c>
      <c r="T39" s="7" t="inlineStr">
        <is>
          <t>Medium (jacks) / Low (MCU)</t>
        </is>
      </c>
      <c r="U39" s="7" t="inlineStr">
        <is>
          <t>MODULES.md; eight4awish-video/src/rigModules.ts (panel modelled from a product photo)</t>
        </is>
      </c>
    </row>
    <row r="40" ht="30" customHeight="1">
      <c r="A40" s="10" t="inlineStr">
        <is>
          <t>Rhythmi</t>
        </is>
      </c>
      <c r="B40" s="7" t="inlineStr">
        <is>
          <t>Purchased</t>
        </is>
      </c>
      <c r="C40" s="7" t="inlineStr">
        <is>
          <t>Omni-tone</t>
        </is>
      </c>
      <c r="D40" s="7" t="inlineStr">
        <is>
          <t>14 HP, 3U</t>
        </is>
      </c>
      <c r="E40" s="7" t="inlineStr">
        <is>
          <t>Digital — MCU not published</t>
        </is>
      </c>
      <c r="F40" s="7" t="inlineStr">
        <is>
          <t>Not published</t>
        </is>
      </c>
      <c r="G40" s="7" t="inlineStr">
        <is>
          <t>Not published</t>
        </is>
      </c>
      <c r="H40" s="7" t="inlineStr">
        <is>
          <t>Not published</t>
        </is>
      </c>
      <c r="I40" s="7" t="inlineStr">
        <is>
          <t>None</t>
        </is>
      </c>
      <c r="J40" s="7" t="inlineStr">
        <is>
          <t>None</t>
        </is>
      </c>
      <c r="K40" s="7" t="inlineStr">
        <is>
          <t>None</t>
        </is>
      </c>
      <c r="L40" s="7" t="inlineStr">
        <is>
          <t>None</t>
        </is>
      </c>
      <c r="M40" s="7" t="inlineStr">
        <is>
          <t>Clock and reset in</t>
        </is>
      </c>
      <c r="N40" s="7" t="inlineStr">
        <is>
          <t>Up to five voices driven from the built-in generative algorithm</t>
        </is>
      </c>
      <c r="O40" s="7" t="inlineStr">
        <is>
          <t>None</t>
        </is>
      </c>
      <c r="P40" s="7" t="inlineStr">
        <is>
          <t>None</t>
        </is>
      </c>
      <c r="Q40" s="7" t="inlineStr">
        <is>
          <t>Not recorded</t>
        </is>
      </c>
      <c r="R40" s="7" t="inlineStr">
        <is>
          <t>Not recorded</t>
        </is>
      </c>
      <c r="S40" s="7" t="inlineStr">
        <is>
          <t>A generative drum sequencer designed to pair with Beatsi.</t>
        </is>
      </c>
      <c r="T40" s="7" t="inlineStr">
        <is>
          <t>Low</t>
        </is>
      </c>
      <c r="U40" s="7" t="inlineStr">
        <is>
          <t>MODULES.md</t>
        </is>
      </c>
    </row>
    <row r="41" ht="38.40000000000001" customHeight="1">
      <c r="A41" s="10" t="inlineStr">
        <is>
          <t>DivSkip</t>
        </is>
      </c>
      <c r="B41" s="7" t="inlineStr">
        <is>
          <t>Purchased</t>
        </is>
      </c>
      <c r="C41" s="7" t="inlineStr">
        <is>
          <t>Making Sound Machines / DivKid</t>
        </is>
      </c>
      <c r="D41" s="7" t="inlineStr">
        <is>
          <t>8 HP, 3U</t>
        </is>
      </c>
      <c r="E41" s="7" t="inlineStr">
        <is>
          <t>Digital — MCU not published</t>
        </is>
      </c>
      <c r="F41" s="7" t="inlineStr">
        <is>
          <t>Not published</t>
        </is>
      </c>
      <c r="G41" s="7" t="inlineStr">
        <is>
          <t>Not published</t>
        </is>
      </c>
      <c r="H41" s="7" t="inlineStr">
        <is>
          <t>Holds 64-step patterns</t>
        </is>
      </c>
      <c r="I41" s="7" t="inlineStr">
        <is>
          <t>None</t>
        </is>
      </c>
      <c r="J41" s="7" t="inlineStr">
        <is>
          <t>None</t>
        </is>
      </c>
      <c r="K41" s="7" t="inlineStr">
        <is>
          <t>None</t>
        </is>
      </c>
      <c r="L41" s="7" t="inlineStr">
        <is>
          <t>None</t>
        </is>
      </c>
      <c r="M41" s="7" t="inlineStr">
        <is>
          <t>4 channels, each with a trigger in and a CV in</t>
        </is>
      </c>
      <c r="N41" s="7" t="inlineStr">
        <is>
          <t>A/B trigger or gate pair per channel (8 out)</t>
        </is>
      </c>
      <c r="O41" s="7" t="inlineStr">
        <is>
          <t>None</t>
        </is>
      </c>
      <c r="P41" s="7" t="inlineStr">
        <is>
          <t>None</t>
        </is>
      </c>
      <c r="Q41" s="7" t="inlineStr">
        <is>
          <t>LEDs</t>
        </is>
      </c>
      <c r="R41" s="7" t="inlineStr">
        <is>
          <t>Per-channel mode and CV controls across eight modes</t>
        </is>
      </c>
      <c r="S41" s="7" t="inlineStr">
        <is>
          <t>Four channels of gate processing across eight modes — Bernoulli, division, Turing, Euclidean, ramp, retrigger and 64-step patterns.</t>
        </is>
      </c>
      <c r="T41" s="7" t="inlineStr">
        <is>
          <t>Low</t>
        </is>
      </c>
      <c r="U41" s="7" t="inlineStr">
        <is>
          <t>MODULES.md; Making Sound Machines DivSkip documentation</t>
        </is>
      </c>
    </row>
    <row r="42" ht="38.40000000000001" customHeight="1">
      <c r="A42" s="10" t="inlineStr">
        <is>
          <t>Random8</t>
        </is>
      </c>
      <c r="B42" s="7" t="inlineStr">
        <is>
          <t>Purchased</t>
        </is>
      </c>
      <c r="C42" s="7" t="inlineStr">
        <is>
          <t>Befaco / Mylar Melodies</t>
        </is>
      </c>
      <c r="D42" s="7" t="inlineStr">
        <is>
          <t>8 HP, 3U</t>
        </is>
      </c>
      <c r="E42" s="7" t="inlineStr">
        <is>
          <t>Digital — MCU not published</t>
        </is>
      </c>
      <c r="F42" s="7" t="inlineStr">
        <is>
          <t>Not published</t>
        </is>
      </c>
      <c r="G42" s="7" t="inlineStr">
        <is>
          <t>Not published</t>
        </is>
      </c>
      <c r="H42" s="7" t="inlineStr">
        <is>
          <t>Per-channel loop capture; 16 quantizer scales</t>
        </is>
      </c>
      <c r="I42" s="7" t="inlineStr">
        <is>
          <t>None</t>
        </is>
      </c>
      <c r="J42" s="7" t="inlineStr">
        <is>
          <t>None</t>
        </is>
      </c>
      <c r="K42" s="7" t="inlineStr">
        <is>
          <t>None</t>
        </is>
      </c>
      <c r="L42" s="7" t="inlineStr">
        <is>
          <t>None</t>
        </is>
      </c>
      <c r="M42" s="7" t="inlineStr">
        <is>
          <t>8 in, one per channel</t>
        </is>
      </c>
      <c r="N42" s="7" t="inlineStr">
        <is>
          <t>8 CV out, one per channel</t>
        </is>
      </c>
      <c r="O42" s="7" t="inlineStr">
        <is>
          <t>None</t>
        </is>
      </c>
      <c r="P42" s="7" t="inlineStr">
        <is>
          <t>None</t>
        </is>
      </c>
      <c r="Q42" s="7" t="inlineStr">
        <is>
          <t>One lit mode button per channel</t>
        </is>
      </c>
      <c r="R42" s="7" t="inlineStr">
        <is>
          <t>8 knobs and 8 mode buttons (PRESET / DIVIDR / PROB / STYLE / OFFSET / SCALE / SLIDE / STEPS)</t>
        </is>
      </c>
      <c r="S42" s="7" t="inlineStr">
        <is>
          <t>Eight looping random voltages in 8 HP — three of them are what wander Girl's resonator.</t>
        </is>
      </c>
      <c r="T42" s="7" t="inlineStr">
        <is>
          <t>Medium (jacks) / Low (MCU)</t>
        </is>
      </c>
      <c r="U42" s="7" t="inlineStr">
        <is>
          <t>MODULES.md; eight4awish-video/src/rigModules.ts (panel modelled from the product)</t>
        </is>
      </c>
    </row>
  </sheetData>
  <autoFilter ref="A4:U42"/>
  <mergeCells count="2">
    <mergeCell ref="A1:U1"/>
    <mergeCell ref="A2:U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4" customWidth="1" min="1" max="1"/>
    <col width="12" customWidth="1" min="2" max="2"/>
  </cols>
  <sheetData>
    <row r="1">
      <c r="A1" s="1" t="inlineStr">
        <is>
          <t>Counts</t>
        </is>
      </c>
    </row>
    <row r="2">
      <c r="A2" s="2" t="inlineStr">
        <is>
          <t>Every figure below is a live formula over the 'MCU Modules' tab.</t>
        </is>
      </c>
    </row>
    <row r="4">
      <c r="A4" s="3" t="inlineStr">
        <is>
          <t>Measure</t>
        </is>
      </c>
      <c r="B4" s="3" t="inlineStr">
        <is>
          <t>Count</t>
        </is>
      </c>
    </row>
    <row r="5">
      <c r="A5" s="11" t="inlineStr">
        <is>
          <t>Modules listed with a microcontroller</t>
        </is>
      </c>
      <c r="B5" s="12">
        <f>COUNTA('MCU Modules'!$B$6:$B$42)</f>
        <v/>
      </c>
    </row>
    <row r="6">
      <c r="A6" s="11" t="inlineStr">
        <is>
          <t>… of which own builds</t>
        </is>
      </c>
      <c r="B6" s="12">
        <f>COUNTIF('MCU Modules'!$B$6:$B$42,"Own build")</f>
        <v/>
      </c>
    </row>
    <row r="7">
      <c r="A7" s="11" t="inlineStr">
        <is>
          <t>… of which purchased</t>
        </is>
      </c>
      <c r="B7" s="12">
        <f>COUNTIF('MCU Modules'!$B$6:$B$42,"Purchased")</f>
        <v/>
      </c>
    </row>
    <row r="8">
      <c r="A8" s="11" t="inlineStr">
        <is>
          <t>… of which DIY kits (unbuilt)</t>
        </is>
      </c>
      <c r="B8" s="12">
        <f>COUNTIF('MCU Modules'!$B$6:$B$42,"DIY kit (unbuilt)")</f>
        <v/>
      </c>
    </row>
    <row r="10">
      <c r="A10" s="11" t="inlineStr">
        <is>
          <t>On an STM32 core</t>
        </is>
      </c>
      <c r="B10" s="12">
        <f>SUMPRODUCT(--ISNUMBER(SEARCH("STM32",'MCU Modules'!$E$6:$E$42)))</f>
        <v/>
      </c>
    </row>
    <row r="11">
      <c r="A11" s="11" t="inlineStr">
        <is>
          <t>On an RP2040 or RP2350</t>
        </is>
      </c>
      <c r="B11" s="12">
        <f>SUMPRODUCT(--ISNUMBER(SEARCH("RP20",'MCU Modules'!$E$6:$E$42)))+SUMPRODUCT(--ISNUMBER(SEARCH("RP23",'MCU Modules'!$E$6:$E$42)))</f>
        <v/>
      </c>
    </row>
    <row r="12">
      <c r="A12" s="11" t="inlineStr">
        <is>
          <t>On an ESP32</t>
        </is>
      </c>
      <c r="B12" s="12">
        <f>SUMPRODUCT(--ISNUMBER(SEARCH("ESP32",'MCU Modules'!$E$6:$E$42)))</f>
        <v/>
      </c>
    </row>
    <row r="13">
      <c r="A13" s="11" t="inlineStr">
        <is>
          <t>On a Teensy 4.1 (i.MX RT1062)</t>
        </is>
      </c>
      <c r="B13" s="12">
        <f>SUMPRODUCT(--ISNUMBER(SEARCH("RT1062",'MCU Modules'!$E$6:$E$42)))</f>
        <v/>
      </c>
    </row>
    <row r="14">
      <c r="A14" s="11" t="inlineStr">
        <is>
          <t>MCU not published by the maker</t>
        </is>
      </c>
      <c r="B14" s="12">
        <f>SUMPRODUCT(--ISNUMBER(SEARCH("not published",'MCU Modules'!$E$6:$E$42)))</f>
        <v/>
      </c>
    </row>
    <row r="16">
      <c r="A16" s="11" t="inlineStr">
        <is>
          <t>With Wi-Fi or Bluetooth on board</t>
        </is>
      </c>
      <c r="B16" s="12">
        <f>SUMPRODUCT((LEFT('MCU Modules'!$I$6:$I$42,4)&lt;&gt;"None")*('MCU Modules'!$I$6:$I$42&lt;&gt;""))</f>
        <v/>
      </c>
    </row>
    <row r="17">
      <c r="A17" s="11" t="inlineStr">
        <is>
          <t>With an SD card slot on the module</t>
        </is>
      </c>
      <c r="B17" s="12">
        <f>SUMPRODUCT((LEFT('MCU Modules'!$J$6:$J$42,4)&lt;&gt;"None")*('MCU Modules'!$J$6:$J$42&lt;&gt;""))</f>
        <v/>
      </c>
    </row>
    <row r="18">
      <c r="A18" s="11" t="inlineStr">
        <is>
          <t>With MIDI of any kind</t>
        </is>
      </c>
      <c r="B18" s="12">
        <f>SUMPRODUCT((LEFT('MCU Modules'!$L$6:$L$42,4)&lt;&gt;"None")*('MCU Modules'!$L$6:$L$42&lt;&gt;""))</f>
        <v/>
      </c>
    </row>
    <row r="19">
      <c r="A19" s="11" t="inlineStr">
        <is>
          <t>With an audio input</t>
        </is>
      </c>
      <c r="B19" s="12">
        <f>SUMPRODUCT((LEFT('MCU Modules'!$O$6:$O$42,4)&lt;&gt;"None")*('MCU Modules'!$O$6:$O$42&lt;&gt;""))</f>
        <v/>
      </c>
    </row>
    <row r="21">
      <c r="A21" s="11" t="inlineStr">
        <is>
          <t>Rows citing High confidence</t>
        </is>
      </c>
      <c r="B21" s="12">
        <f>SUMPRODUCT(--ISNUMBER(SEARCH("High",'MCU Modules'!$T$6:$T$42)))</f>
        <v/>
      </c>
    </row>
    <row r="22">
      <c r="A22" s="11" t="inlineStr">
        <is>
          <t>Rows citing Medium confidence</t>
        </is>
      </c>
      <c r="B22" s="12">
        <f>SUMPRODUCT(--ISNUMBER(SEARCH("Medium",'MCU Modules'!$T$6:$T$42)))</f>
        <v/>
      </c>
    </row>
    <row r="23">
      <c r="A23" s="11" t="inlineStr">
        <is>
          <t>Rows citing Low confidence</t>
        </is>
      </c>
      <c r="B23" s="12">
        <f>SUMPRODUCT(--ISNUMBER(SEARCH("Low",'MCU Modules'!$T$6:$T$42)))</f>
        <v/>
      </c>
    </row>
    <row r="25">
      <c r="A25" s="13" t="inlineStr">
        <is>
          <t>Note: a cell beginning 'None' counts as absent. A module whose maker does not publish its MCU still counts as having one — it is digital, the part is just unknown. Two rows carry two confidence levels (one for the MCU, one for the jack list), so the three confidence counts sum to more than the total.</t>
        </is>
      </c>
    </row>
    <row r="26"/>
    <row r="27"/>
  </sheetData>
  <mergeCells count="1">
    <mergeCell ref="A25:B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9"/>
  <sheetViews>
    <sheetView workbookViewId="0">
      <pane ySplit="4" topLeftCell="A5" activePane="bottomLeft" state="frozen"/>
      <selection pane="bottomLeft" activeCell="A1" sqref="A1"/>
    </sheetView>
  </sheetViews>
  <sheetFormatPr baseColWidth="8" defaultRowHeight="15"/>
  <cols>
    <col width="38" customWidth="1" min="1" max="1"/>
    <col width="20" customWidth="1" min="2" max="2"/>
    <col width="32" customWidth="1" min="3" max="3"/>
    <col width="86" customWidth="1" min="4" max="4"/>
  </cols>
  <sheetData>
    <row r="1">
      <c r="A1" s="1" t="inlineStr">
        <is>
          <t>Deliberately not on the main tab</t>
        </is>
      </c>
    </row>
    <row r="2">
      <c r="A2" s="2" t="inlineStr">
        <is>
          <t>Recorded so nothing gets re-counted or re-checked later.</t>
        </is>
      </c>
    </row>
    <row r="4">
      <c r="A4" s="3" t="inlineStr">
        <is>
          <t>Module(s)</t>
        </is>
      </c>
      <c r="B4" s="3" t="inlineStr">
        <is>
          <t>Class</t>
        </is>
      </c>
      <c r="C4" s="3" t="inlineStr">
        <is>
          <t>Why it is not here</t>
        </is>
      </c>
      <c r="D4" s="3" t="inlineStr">
        <is>
          <t>Detail</t>
        </is>
      </c>
    </row>
    <row r="5" ht="46" customHeight="1">
      <c r="A5" s="14" t="inlineStr">
        <is>
          <t>Silver / Gold</t>
        </is>
      </c>
      <c r="B5" s="7" t="inlineStr">
        <is>
          <t>Own build</t>
        </is>
      </c>
      <c r="C5" s="7" t="inlineStr">
        <is>
          <t>Tiliqua (apf.audio) — FPGA, not an MCU</t>
        </is>
      </c>
      <c r="D5" s="7" t="inlineStr">
        <is>
          <t>Lattice ECP5-25F with 28 multipliers; the instruments are bitstreams running a soft SoC on fabric, not firmware on a microcontroller. Two grid sizes ship (32×32 and 48×48) and two video modes (1280x720p60, 720x720p60r2).</t>
        </is>
      </c>
    </row>
    <row r="6" ht="46" customHeight="1">
      <c r="A6" s="14" t="inlineStr">
        <is>
          <t>Teensy Expander</t>
        </is>
      </c>
      <c r="B6" s="7" t="inlineStr">
        <is>
          <t>Own build</t>
        </is>
      </c>
      <c r="C6" s="7" t="inlineStr">
        <is>
          <t>No MCU of its own</t>
        </is>
      </c>
      <c r="D6" s="7" t="inlineStr">
        <is>
          <t>6 HP companion to Boy: a 74HC595 latch plus an inverter driving four drum triggers and two extra CV/gate channels through two MCP4822 DACs — all clocked over SPI by Boy's Teensy 4.1.</t>
        </is>
      </c>
    </row>
    <row r="7" ht="46" customHeight="1">
      <c r="A7" s="14" t="inlineStr">
        <is>
          <t>Dual Pingable LPG</t>
        </is>
      </c>
      <c r="B7" s="7" t="inlineStr">
        <is>
          <t>Own build</t>
        </is>
      </c>
      <c r="C7" s="7" t="inlineStr">
        <is>
          <t>Analog</t>
        </is>
      </c>
      <c r="D7" s="7" t="inlineStr">
        <is>
          <t>Two-channel low-pass gate on the Buchla 292 audio path. No digital part.</t>
        </is>
      </c>
    </row>
    <row r="8" ht="46" customHeight="1">
      <c r="A8" s="14" t="inlineStr">
        <is>
          <t>mkikick</t>
        </is>
      </c>
      <c r="B8" s="7" t="inlineStr">
        <is>
          <t>Home build</t>
        </is>
      </c>
      <c r="C8" s="7" t="inlineStr">
        <is>
          <t>Analog</t>
        </is>
      </c>
      <c r="D8" s="7" t="inlineStr">
        <is>
          <t>Kick drum from the MKI x ES EDU book. No digital part.</t>
        </is>
      </c>
    </row>
    <row r="9" ht="46" customHeight="1">
      <c r="A9" s="14" t="inlineStr">
        <is>
          <t>Hi-Hat</t>
        </is>
      </c>
      <c r="B9" s="7" t="inlineStr">
        <is>
          <t>DIY kit</t>
        </is>
      </c>
      <c r="C9" s="7" t="inlineStr">
        <is>
          <t>Analog</t>
        </is>
      </c>
      <c r="D9" s="7" t="inlineStr">
        <is>
          <t>MKI x es.edu DIY hi-hat. No digital part.</t>
        </is>
      </c>
    </row>
    <row r="10" ht="46" customHeight="1">
      <c r="A10" s="14" t="inlineStr">
        <is>
          <t>Swords</t>
        </is>
      </c>
      <c r="B10" s="7" t="inlineStr">
        <is>
          <t>Purchased</t>
        </is>
      </c>
      <c r="C10" s="7" t="inlineStr">
        <is>
          <t>Analog</t>
        </is>
      </c>
      <c r="D10" s="7" t="inlineStr">
        <is>
          <t>Behringer's Mutable Blades clone. Blades is fully analog, built on the V2164 quad VCA — no microcontroller, despite the CV input on every parameter.</t>
        </is>
      </c>
    </row>
    <row r="11" ht="46" customHeight="1">
      <c r="A11" s="14" t="inlineStr">
        <is>
          <t>Chaos (Behringer)</t>
        </is>
      </c>
      <c r="B11" s="7" t="inlineStr">
        <is>
          <t>Purchased</t>
        </is>
      </c>
      <c r="C11" s="7" t="inlineStr">
        <is>
          <t>Analog</t>
        </is>
      </c>
      <c r="D11" s="7" t="inlineStr">
        <is>
          <t>Analog random sampler in two chained sub-sections. Not to be confused with your own Chaos, the Teensy 4.1 attractor voice.</t>
        </is>
      </c>
    </row>
    <row r="12" ht="46" customHeight="1">
      <c r="A12" s="14" t="inlineStr">
        <is>
          <t>Abacus, Four Play</t>
        </is>
      </c>
      <c r="B12" s="7" t="inlineStr">
        <is>
          <t>Purchased</t>
        </is>
      </c>
      <c r="C12" s="7" t="inlineStr">
        <is>
          <t>Analog</t>
        </is>
      </c>
      <c r="D12" s="7" t="inlineStr">
        <is>
          <t>Abacus is analog CV maths on the Buchla 257/281 model; Four Play is a Coolaudio V2164A quad VCA.</t>
        </is>
      </c>
    </row>
    <row r="13" ht="46" customHeight="1">
      <c r="A13" s="14" t="inlineStr">
        <is>
          <t>Turing Machine Mk II, Pulses, Volts, Voltages</t>
        </is>
      </c>
      <c r="B13" s="7" t="inlineStr">
        <is>
          <t>Purchased</t>
        </is>
      </c>
      <c r="C13" s="7" t="inlineStr">
        <is>
          <t>No MCU — discrete logic</t>
        </is>
      </c>
      <c r="D13" s="7" t="inlineStr">
        <is>
          <t>A 16-bit shift register with an op-amp DAC; the expanders are logic taps and a 5-bit resistor DAC. Steerable but not programmable, which is exactly what having no processor means here.</t>
        </is>
      </c>
    </row>
    <row r="14" ht="46" customHeight="1">
      <c r="A14" s="14" t="inlineStr">
        <is>
          <t>Doepfer A-121d, A-124, A-142-3, A-148, A-138a</t>
        </is>
      </c>
      <c r="B14" s="7" t="inlineStr">
        <is>
          <t>Purchased</t>
        </is>
      </c>
      <c r="C14" s="7" t="inlineStr">
        <is>
          <t>Analog</t>
        </is>
      </c>
      <c r="D14" s="7" t="inlineStr">
        <is>
          <t>Filters, envelope/VCA, sample &amp; hold and a linear mixer. A-142-3 is a 555 timer plus a CEM3381 — discrete, not a microcontroller.</t>
        </is>
      </c>
    </row>
    <row r="15" ht="46" customHeight="1">
      <c r="A15" s="14" t="inlineStr">
        <is>
          <t>Thonk T01, T03 ×2, BUF (T06); N8Synth ADSR</t>
        </is>
      </c>
      <c r="B15" s="7" t="inlineStr">
        <is>
          <t>Purchased</t>
        </is>
      </c>
      <c r="C15" s="7" t="inlineStr">
        <is>
          <t>Analog</t>
        </is>
      </c>
      <c r="D15" s="7" t="inlineStr">
        <is>
          <t>VCO, VCAs, buffered multiple and envelope.</t>
        </is>
      </c>
    </row>
    <row r="16" ht="46" customHeight="1">
      <c r="A16" s="14" t="inlineStr">
        <is>
          <t>Chopping Kinky, A*B+C, Instrument Interface, Mutes MK2, Output Bus</t>
        </is>
      </c>
      <c r="B16" s="7" t="inlineStr">
        <is>
          <t>Purchased</t>
        </is>
      </c>
      <c r="C16" s="7" t="inlineStr">
        <is>
          <t>Analog</t>
        </is>
      </c>
      <c r="D16" s="7" t="inlineStr">
        <is>
          <t>Befaco utilities — wavefolder, four-quadrant multiplier, preamp/envelope follower, VCA-based mutes and the stereo output mixer.</t>
        </is>
      </c>
    </row>
    <row r="17" ht="46" customHeight="1">
      <c r="A17" s="14" t="inlineStr">
        <is>
          <t>ES-10</t>
        </is>
      </c>
      <c r="B17" s="7" t="inlineStr">
        <is>
          <t>Purchased</t>
        </is>
      </c>
      <c r="C17" s="7" t="inlineStr">
        <is>
          <t>Digital, but not an MCU platform</t>
        </is>
      </c>
      <c r="D17" s="7" t="inlineStr">
        <is>
          <t>8-channel DC-coupled ADAT interface. End of the chain — every audio out terminates here — but there is no user-programmable processor in it.</t>
        </is>
      </c>
    </row>
    <row r="18" ht="46" customHeight="1">
      <c r="A18" s="14" t="inlineStr">
        <is>
          <t>Retrospective (Mac app), LLM proxy</t>
        </is>
      </c>
      <c r="B18" s="7" t="inlineStr">
        <is>
          <t>Companion software</t>
        </is>
      </c>
      <c r="C18" s="7" t="inlineStr">
        <is>
          <t>Not modules</t>
        </is>
      </c>
      <c r="D18" s="7" t="inlineStr">
        <is>
          <t>Retrospective is the SwiftUI menu-bar capture engine the Seeed Recorder and ClkLinkRec both trigger; the LLM proxy is the FastAPI service behind CortHex.</t>
        </is>
      </c>
    </row>
    <row r="19" ht="46" customHeight="1">
      <c r="A19" s="14" t="inlineStr">
        <is>
          <t>Proton, Neutron, Move, Scarlett 16i16</t>
        </is>
      </c>
      <c r="B19" s="7" t="inlineStr">
        <is>
          <t>Outside the rack</t>
        </is>
      </c>
      <c r="C19" s="7" t="inlineStr">
        <is>
          <t>Not Eurorack modules</t>
        </is>
      </c>
      <c r="D19" s="7" t="inlineStr">
        <is>
          <t>Two Behringer semi-modulars, the Ableton Move (for which Boy is the bridge) and the Focusrite interface.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04" customWidth="1" min="2" max="2"/>
  </cols>
  <sheetData>
    <row r="1">
      <c r="A1" s="1" t="inlineStr">
        <is>
          <t>How to read the Confidence column</t>
        </is>
      </c>
    </row>
    <row r="3">
      <c r="A3" s="3" t="inlineStr">
        <is>
          <t>Level / source</t>
        </is>
      </c>
      <c r="B3" s="3" t="inlineStr">
        <is>
          <t>What it means</t>
        </is>
      </c>
    </row>
    <row r="4" ht="44" customHeight="1">
      <c r="A4" s="15" t="inlineStr">
        <is>
          <t>High</t>
        </is>
      </c>
      <c r="B4" s="7" t="inlineStr">
        <is>
          <t>Read off your own repositories — firmware source, hardware design docs, netlists and panel contracts. Treat these as authoritative.</t>
        </is>
      </c>
    </row>
    <row r="5" ht="44" customHeight="1">
      <c r="A5" s="15" t="inlineStr">
        <is>
          <t>Medium</t>
        </is>
      </c>
      <c r="B5" s="7" t="inlineStr">
        <is>
          <t>The part or the jack list comes from the maker's published specification, or from a panel modelled in eight4awish-video/src/rigModules.ts (which is reverse-engineered from product photos). Right in outline; worth a glance at the real panel before you quote a jack count.</t>
        </is>
      </c>
    </row>
    <row r="6" ht="44" customHeight="1">
      <c r="A6" s="15" t="inlineStr">
        <is>
          <t>Low</t>
        </is>
      </c>
      <c r="B6" s="7" t="inlineStr">
        <is>
          <t>The module is certainly digital, but the maker does not publish what is inside it. Where a row names an STM32 part for a Behringer module, that is the MCU of the ORIGINAL Mutable design — Behringer re-engineers its clones and does not publish its own silicon, so do not assume the chip carried over.</t>
        </is>
      </c>
    </row>
    <row r="8" ht="44" customHeight="1">
      <c r="A8" s="16" t="inlineStr">
        <is>
          <t>Primary sources used</t>
        </is>
      </c>
      <c r="B8" s="7" t="inlineStr"/>
    </row>
    <row r="9" ht="44" customHeight="1">
      <c r="A9" s="15" t="inlineStr">
        <is>
          <t>MODULES.md</t>
        </is>
      </c>
      <c r="B9" s="7" t="inlineStr">
        <is>
          <t>eight4awish repo — the canonical inventory, including the purchased list David gave on 2026-09-18.</t>
        </is>
      </c>
    </row>
    <row r="10" ht="44" customHeight="1">
      <c r="A10" s="15" t="inlineStr">
        <is>
          <t>eurorack_modules/docs/</t>
        </is>
      </c>
      <c r="B10" s="7" t="inlineStr">
        <is>
          <t>TEENSY_MOVE.md, TEENSY_CHAOS.md, NANOESP32_CORTHEX_HARDWARE.md, PICO2W_OC.md, ESP32_CLKLINKREC.md, ESP32_CLKLINK.md, KSOLOTI_ELEMENTS.md, plus the monorepo README.</t>
        </is>
      </c>
    </row>
    <row r="11" ht="44" customHeight="1">
      <c r="A11" s="15" t="inlineStr">
        <is>
          <t>eurorack_daisy_patch_init/</t>
        </is>
      </c>
      <c r="B11" s="7" t="inlineStr">
        <is>
          <t>docs/PANEL.md is the hardware surface every Daisy build shares; the per-firmware READMEs give each one's map.</t>
        </is>
      </c>
    </row>
    <row r="12" ht="44" customHeight="1">
      <c r="A12" s="15" t="inlineStr">
        <is>
          <t>eurorack_electronics/</t>
        </is>
      </c>
      <c r="B12" s="7" t="inlineStr">
        <is>
          <t>docs/mod2_netlist.md — the MOD2/Melon BOM, which is where the XIAO RP2350 comes from.</t>
        </is>
      </c>
    </row>
    <row r="13" ht="44" customHeight="1">
      <c r="A13" s="15" t="inlineStr">
        <is>
          <t>seeed-recorder/</t>
        </is>
      </c>
      <c r="B13" s="7" t="inlineStr">
        <is>
          <t>CLAUDE.md and docs/RECORDER_PROTOCOL.md — the RP2040 module and the MIDI protocol.</t>
        </is>
      </c>
    </row>
    <row r="14" ht="44" customHeight="1">
      <c r="A14" s="15" t="inlineStr">
        <is>
          <t>Eight4aWish/ogham</t>
        </is>
      </c>
      <c r="B14" s="7" t="inlineStr">
        <is>
          <t>Your fork of the Keeos firmware — firmware/README.md names the STM32H750, hardware/README.md lists the eight jacks.</t>
        </is>
      </c>
    </row>
    <row r="15" ht="44" customHeight="1">
      <c r="A15" s="15" t="inlineStr">
        <is>
          <t>eight4awish-video/src/rigModules.ts</t>
        </is>
      </c>
      <c r="B15" s="7" t="inlineStr">
        <is>
          <t>Panel models of the purchased modules, jack by jack. Sources are marked in the file as 'photo' (reverse-engineered) or 'descr' (David's description).</t>
        </is>
      </c>
    </row>
    <row r="16" ht="44" customHeight="1">
      <c r="A16" s="15" t="inlineStr">
        <is>
          <t>Maker documentation</t>
        </is>
      </c>
      <c r="B16" s="7" t="inlineStr">
        <is>
          <t>musicthing.co.uk (Workshop Computer), ksoloti.github.io (Big Genes), shorepine AMYboard docs, Mutable Instruments' own STM32 tech notes for the cloned designs.</t>
        </is>
      </c>
    </row>
    <row r="18" ht="44" customHeight="1">
      <c r="A18" s="16" t="inlineStr">
        <is>
          <t>Known gaps</t>
        </is>
      </c>
      <c r="B18" s="7" t="inlineStr"/>
    </row>
    <row r="19" ht="44" customHeight="1">
      <c r="A19" s="15" t="inlineStr">
        <is>
          <t>ESP32 ClkLink HP</t>
        </is>
      </c>
      <c r="B19" s="7" t="inlineStr">
        <is>
          <t>Not in MODULES.md's panel-width table and not in a build123d manifest. Measure it.</t>
        </is>
      </c>
    </row>
    <row r="20" ht="44" customHeight="1">
      <c r="A20" s="15" t="inlineStr">
        <is>
          <t>Girl's MCU</t>
        </is>
      </c>
      <c r="B20" s="7" t="inlineStr">
        <is>
          <t>Your doc says STM32F429; Ksoloti's own Big Genes page specifies STM32F427 for Core PCB v0.7 and later. Both are 168 MHz Cortex-M4F, so nothing downstream changes — but one of the two is wrong.</t>
        </is>
      </c>
    </row>
    <row r="21" ht="44" customHeight="1">
      <c r="A21" s="15" t="inlineStr">
        <is>
          <t>Rings</t>
        </is>
      </c>
      <c r="B21" s="7" t="inlineStr">
        <is>
          <t>The Mutable original's exact STM32 part was not confirmed from a primary source. Everything else in that row is from MODULES.md.</t>
        </is>
      </c>
    </row>
    <row r="22" ht="44" customHeight="1">
      <c r="A22" s="15" t="inlineStr">
        <is>
          <t>Purchased jack counts</t>
        </is>
      </c>
      <c r="B22" s="7" t="inlineStr">
        <is>
          <t>Filled in only where a repo records them. Cells reading 'Not recorded in the repos' are honest blanks, not zeros.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2026-09-20T07:32:57Z</dcterms:created>
  <dcterms:modified xsi:type="dcterms:W3CDTF">2026-09-24T07:23:04Z</dcterms:modified>
</cp:coreProperties>
</file>